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gminasjan\Downloads\"/>
    </mc:Choice>
  </mc:AlternateContent>
  <xr:revisionPtr revIDLastSave="0" documentId="8_{EC055A51-9F6A-4634-A640-55025C13304E}" xr6:coauthVersionLast="47" xr6:coauthVersionMax="47" xr10:uidLastSave="{00000000-0000-0000-0000-000000000000}"/>
  <bookViews>
    <workbookView xWindow="-120" yWindow="-120" windowWidth="29040" windowHeight="15720" firstSheet="1" activeTab="4" xr2:uid="{4F8E24DB-9F9B-4193-A2C6-A1F9D61CE8F5}"/>
  </bookViews>
  <sheets>
    <sheet name="List4" sheetId="5" r:id="rId1"/>
    <sheet name="poets_dataset" sheetId="1" r:id="rId2"/>
    <sheet name="List2" sheetId="3" r:id="rId3"/>
    <sheet name="List3" sheetId="4" r:id="rId4"/>
    <sheet name="List1" sheetId="2" r:id="rId5"/>
  </sheets>
  <definedNames>
    <definedName name="_xlnm._FilterDatabase" localSheetId="2" hidden="1">List2!$A$1:$H$201</definedName>
    <definedName name="_xlnm._FilterDatabase" localSheetId="1" hidden="1">poets_dataset!$A$1:$L$1</definedName>
  </definedNames>
  <calcPr calcId="0"/>
  <pivotCaches>
    <pivotCache cacheId="34" r:id="rId6"/>
    <pivotCache cacheId="46" r:id="rId7"/>
  </pivotCaches>
</workbook>
</file>

<file path=xl/calcChain.xml><?xml version="1.0" encoding="utf-8"?>
<calcChain xmlns="http://schemas.openxmlformats.org/spreadsheetml/2006/main">
  <c r="I400" i="2" l="1"/>
  <c r="I399" i="2"/>
  <c r="I398" i="2"/>
  <c r="I397" i="2"/>
  <c r="I396" i="2"/>
  <c r="I395" i="2"/>
  <c r="I394" i="2"/>
  <c r="I393" i="2"/>
  <c r="I392" i="2"/>
  <c r="I391" i="2"/>
  <c r="I390" i="2"/>
  <c r="I389" i="2"/>
  <c r="I388" i="2"/>
  <c r="I387" i="2"/>
  <c r="I386" i="2"/>
  <c r="I385" i="2"/>
  <c r="I384" i="2"/>
  <c r="I383" i="2"/>
  <c r="I382" i="2"/>
  <c r="I381" i="2"/>
  <c r="I380" i="2"/>
  <c r="I379" i="2"/>
  <c r="I378" i="2"/>
  <c r="I377" i="2"/>
  <c r="I376" i="2"/>
  <c r="I375" i="2"/>
  <c r="I374" i="2"/>
  <c r="I373" i="2"/>
  <c r="I372" i="2"/>
  <c r="I371" i="2"/>
  <c r="I370" i="2"/>
  <c r="I369" i="2"/>
  <c r="I368" i="2"/>
  <c r="I367" i="2"/>
  <c r="I366" i="2"/>
  <c r="I365" i="2"/>
  <c r="I364" i="2"/>
  <c r="I363" i="2"/>
  <c r="I362" i="2"/>
  <c r="I361" i="2"/>
  <c r="I360" i="2"/>
  <c r="I359" i="2"/>
  <c r="I358" i="2"/>
  <c r="I357" i="2"/>
  <c r="I356" i="2"/>
  <c r="I355" i="2"/>
  <c r="I354" i="2"/>
  <c r="I353" i="2"/>
  <c r="I352" i="2"/>
  <c r="I351" i="2"/>
  <c r="I350" i="2"/>
  <c r="I349" i="2"/>
  <c r="I348" i="2"/>
  <c r="I347" i="2"/>
  <c r="I346" i="2"/>
  <c r="I345" i="2"/>
  <c r="I344" i="2"/>
  <c r="I343" i="2"/>
  <c r="I342" i="2"/>
  <c r="I341" i="2"/>
  <c r="I340" i="2"/>
  <c r="I339" i="2"/>
  <c r="I338" i="2"/>
  <c r="I337" i="2"/>
  <c r="I336" i="2"/>
  <c r="I335" i="2"/>
  <c r="I334" i="2"/>
  <c r="I333" i="2"/>
  <c r="I332" i="2"/>
  <c r="I331" i="2"/>
  <c r="I330" i="2"/>
  <c r="I329" i="2"/>
  <c r="I328" i="2"/>
  <c r="I327" i="2"/>
  <c r="I326" i="2"/>
  <c r="I325" i="2"/>
  <c r="I324" i="2"/>
  <c r="I323" i="2"/>
  <c r="I322" i="2"/>
  <c r="I321" i="2"/>
  <c r="I320" i="2"/>
  <c r="I319" i="2"/>
  <c r="I318" i="2"/>
  <c r="I317" i="2"/>
  <c r="I316" i="2"/>
  <c r="I315" i="2"/>
  <c r="I314" i="2"/>
  <c r="I313" i="2"/>
  <c r="I312" i="2"/>
  <c r="I311" i="2"/>
  <c r="I310" i="2"/>
  <c r="I309" i="2"/>
  <c r="I308" i="2"/>
  <c r="I307" i="2"/>
  <c r="I306" i="2"/>
  <c r="I305" i="2"/>
  <c r="I304" i="2"/>
  <c r="I303" i="2"/>
  <c r="I302" i="2"/>
  <c r="I301" i="2"/>
  <c r="I300" i="2"/>
  <c r="I299" i="2"/>
  <c r="I298" i="2"/>
  <c r="I297" i="2"/>
  <c r="I296" i="2"/>
  <c r="I295" i="2"/>
  <c r="I294" i="2"/>
  <c r="I293" i="2"/>
  <c r="I292" i="2"/>
  <c r="I291" i="2"/>
  <c r="I290" i="2"/>
  <c r="I289" i="2"/>
  <c r="I288" i="2"/>
  <c r="I287" i="2"/>
  <c r="I286" i="2"/>
  <c r="I285" i="2"/>
  <c r="I284" i="2"/>
  <c r="I283" i="2"/>
  <c r="I282" i="2"/>
  <c r="I281" i="2"/>
  <c r="I280" i="2"/>
  <c r="I279" i="2"/>
  <c r="I278" i="2"/>
  <c r="I277" i="2"/>
  <c r="I276" i="2"/>
  <c r="I275" i="2"/>
  <c r="I274" i="2"/>
  <c r="I273" i="2"/>
  <c r="I272" i="2"/>
  <c r="I271" i="2"/>
  <c r="I270" i="2"/>
  <c r="I269" i="2"/>
  <c r="I268" i="2"/>
  <c r="I267" i="2"/>
  <c r="I266" i="2"/>
  <c r="I265" i="2"/>
  <c r="I264" i="2"/>
  <c r="I263" i="2"/>
  <c r="I262" i="2"/>
  <c r="I261" i="2"/>
  <c r="I260" i="2"/>
  <c r="I259" i="2"/>
  <c r="I258" i="2"/>
  <c r="I257" i="2"/>
  <c r="I256" i="2"/>
  <c r="I255" i="2"/>
  <c r="I254" i="2"/>
  <c r="I253" i="2"/>
  <c r="I252" i="2"/>
  <c r="I251" i="2"/>
  <c r="I250" i="2"/>
  <c r="I249" i="2"/>
  <c r="I248" i="2"/>
  <c r="I247" i="2"/>
  <c r="I246" i="2"/>
  <c r="I245" i="2"/>
  <c r="I244" i="2"/>
  <c r="I243" i="2"/>
  <c r="I242" i="2"/>
  <c r="I241" i="2"/>
  <c r="I240" i="2"/>
  <c r="I239" i="2"/>
  <c r="I238" i="2"/>
  <c r="I237" i="2"/>
  <c r="I236" i="2"/>
  <c r="I235" i="2"/>
  <c r="I234" i="2"/>
  <c r="I233" i="2"/>
  <c r="I232" i="2"/>
  <c r="I231" i="2"/>
  <c r="I230" i="2"/>
  <c r="I229" i="2"/>
  <c r="I228" i="2"/>
  <c r="I227" i="2"/>
  <c r="I226" i="2"/>
  <c r="I225" i="2"/>
  <c r="I224" i="2"/>
  <c r="I223" i="2"/>
  <c r="I222" i="2"/>
  <c r="I221" i="2"/>
  <c r="I220" i="2"/>
  <c r="I219" i="2"/>
  <c r="I218" i="2"/>
  <c r="I217" i="2"/>
  <c r="I216" i="2"/>
  <c r="I215" i="2"/>
  <c r="I214" i="2"/>
  <c r="I213" i="2"/>
  <c r="I212" i="2"/>
  <c r="I211" i="2"/>
  <c r="I210" i="2"/>
  <c r="I209" i="2"/>
  <c r="I208" i="2"/>
  <c r="I207" i="2"/>
  <c r="I206" i="2"/>
  <c r="I205" i="2"/>
  <c r="I204" i="2"/>
  <c r="I203" i="2"/>
  <c r="I202" i="2"/>
  <c r="I201" i="2"/>
  <c r="I200" i="2"/>
  <c r="I199" i="2"/>
  <c r="I198" i="2"/>
  <c r="I197" i="2"/>
  <c r="I196" i="2"/>
  <c r="I195" i="2"/>
  <c r="I194" i="2"/>
  <c r="I193" i="2"/>
  <c r="I192" i="2"/>
  <c r="I191" i="2"/>
  <c r="I190" i="2"/>
  <c r="I189" i="2"/>
  <c r="I188" i="2"/>
  <c r="I187" i="2"/>
  <c r="I186" i="2"/>
  <c r="I185" i="2"/>
  <c r="I184" i="2"/>
  <c r="I183" i="2"/>
  <c r="I182" i="2"/>
  <c r="I181" i="2"/>
  <c r="I180" i="2"/>
  <c r="I179" i="2"/>
  <c r="I178" i="2"/>
  <c r="I177" i="2"/>
  <c r="I176" i="2"/>
  <c r="I175" i="2"/>
  <c r="I174" i="2"/>
  <c r="I173" i="2"/>
  <c r="I172" i="2"/>
  <c r="I171" i="2"/>
  <c r="I170" i="2"/>
  <c r="I169" i="2"/>
  <c r="I168" i="2"/>
  <c r="I167" i="2"/>
  <c r="I166" i="2"/>
  <c r="I165" i="2"/>
  <c r="I164" i="2"/>
  <c r="I163" i="2"/>
  <c r="I162" i="2"/>
  <c r="I161" i="2"/>
  <c r="I160" i="2"/>
  <c r="I159" i="2"/>
  <c r="I158" i="2"/>
  <c r="I157" i="2"/>
  <c r="I156" i="2"/>
  <c r="I155" i="2"/>
  <c r="I154" i="2"/>
  <c r="I153" i="2"/>
  <c r="I152" i="2"/>
  <c r="I151" i="2"/>
  <c r="I150" i="2"/>
  <c r="I149" i="2"/>
  <c r="I148" i="2"/>
  <c r="I147" i="2"/>
  <c r="I146" i="2"/>
  <c r="I145" i="2"/>
  <c r="I144" i="2"/>
  <c r="I143" i="2"/>
  <c r="I142" i="2"/>
  <c r="I141" i="2"/>
  <c r="I140" i="2"/>
  <c r="I139" i="2"/>
  <c r="I138" i="2"/>
  <c r="I137" i="2"/>
  <c r="I136" i="2"/>
  <c r="I135" i="2"/>
  <c r="I134" i="2"/>
  <c r="I133" i="2"/>
  <c r="I132" i="2"/>
  <c r="I131" i="2"/>
  <c r="I130" i="2"/>
  <c r="I129" i="2"/>
  <c r="I128" i="2"/>
  <c r="I127" i="2"/>
  <c r="I126" i="2"/>
  <c r="I125" i="2"/>
  <c r="I124" i="2"/>
  <c r="I123" i="2"/>
  <c r="I122" i="2"/>
  <c r="I121" i="2"/>
  <c r="I120" i="2"/>
  <c r="I119" i="2"/>
  <c r="I118" i="2"/>
  <c r="I117" i="2"/>
  <c r="I116" i="2"/>
  <c r="I115" i="2"/>
  <c r="I114" i="2"/>
  <c r="I113" i="2"/>
  <c r="I112" i="2"/>
  <c r="I111" i="2"/>
  <c r="I110" i="2"/>
  <c r="I109" i="2"/>
  <c r="I108" i="2"/>
  <c r="I107" i="2"/>
  <c r="I106" i="2"/>
  <c r="I105" i="2"/>
  <c r="I104" i="2"/>
  <c r="I103" i="2"/>
  <c r="I102" i="2"/>
  <c r="I101" i="2"/>
  <c r="I100" i="2"/>
  <c r="I99" i="2"/>
  <c r="I98" i="2"/>
  <c r="I97" i="2"/>
  <c r="I96" i="2"/>
  <c r="I95" i="2"/>
  <c r="I94" i="2"/>
  <c r="I93" i="2"/>
  <c r="I92" i="2"/>
  <c r="I91" i="2"/>
  <c r="I90" i="2"/>
  <c r="I89" i="2"/>
  <c r="I88" i="2"/>
  <c r="I87" i="2"/>
  <c r="I86" i="2"/>
  <c r="I85" i="2"/>
  <c r="I84" i="2"/>
  <c r="I83" i="2"/>
  <c r="I82" i="2"/>
  <c r="I81" i="2"/>
  <c r="I80" i="2"/>
  <c r="I79" i="2"/>
  <c r="I78" i="2"/>
  <c r="I77" i="2"/>
  <c r="I76" i="2"/>
  <c r="I75" i="2"/>
  <c r="I74" i="2"/>
  <c r="I73" i="2"/>
  <c r="I72" i="2"/>
  <c r="I71" i="2"/>
  <c r="I70" i="2"/>
  <c r="I69" i="2"/>
  <c r="I68" i="2"/>
  <c r="I67" i="2"/>
  <c r="I66" i="2"/>
  <c r="I65" i="2"/>
  <c r="I64" i="2"/>
  <c r="I63" i="2"/>
  <c r="I62" i="2"/>
  <c r="I61" i="2"/>
  <c r="I60" i="2"/>
  <c r="I59" i="2"/>
  <c r="I58" i="2"/>
  <c r="I57" i="2"/>
  <c r="I56" i="2"/>
  <c r="I55" i="2"/>
  <c r="I54" i="2"/>
  <c r="I53" i="2"/>
  <c r="I52" i="2"/>
  <c r="I51" i="2"/>
  <c r="I50" i="2"/>
  <c r="I49" i="2"/>
  <c r="I48" i="2"/>
  <c r="I47" i="2"/>
  <c r="I46" i="2"/>
  <c r="I45" i="2"/>
  <c r="I44" i="2"/>
  <c r="I43" i="2"/>
  <c r="I42" i="2"/>
  <c r="I41" i="2"/>
  <c r="I40" i="2"/>
  <c r="I39" i="2"/>
  <c r="I38" i="2"/>
  <c r="I37" i="2"/>
  <c r="I36" i="2"/>
  <c r="I35" i="2"/>
  <c r="I34" i="2"/>
  <c r="I33" i="2"/>
  <c r="I32" i="2"/>
  <c r="I31" i="2"/>
  <c r="I30" i="2"/>
  <c r="I29" i="2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I7" i="2"/>
  <c r="I6" i="2"/>
  <c r="I5" i="2"/>
  <c r="I4" i="2"/>
  <c r="I3" i="2"/>
  <c r="I2" i="2"/>
  <c r="H400" i="2"/>
  <c r="H399" i="2"/>
  <c r="H398" i="2"/>
  <c r="H397" i="2"/>
  <c r="H396" i="2"/>
  <c r="H395" i="2"/>
  <c r="H394" i="2"/>
  <c r="H393" i="2"/>
  <c r="H392" i="2"/>
  <c r="H391" i="2"/>
  <c r="H390" i="2"/>
  <c r="H389" i="2"/>
  <c r="H388" i="2"/>
  <c r="H387" i="2"/>
  <c r="H386" i="2"/>
  <c r="H385" i="2"/>
  <c r="H384" i="2"/>
  <c r="H383" i="2"/>
  <c r="H382" i="2"/>
  <c r="H381" i="2"/>
  <c r="H380" i="2"/>
  <c r="H379" i="2"/>
  <c r="H378" i="2"/>
  <c r="H377" i="2"/>
  <c r="H376" i="2"/>
  <c r="H375" i="2"/>
  <c r="H374" i="2"/>
  <c r="H373" i="2"/>
  <c r="H372" i="2"/>
  <c r="H371" i="2"/>
  <c r="H370" i="2"/>
  <c r="H369" i="2"/>
  <c r="H368" i="2"/>
  <c r="H367" i="2"/>
  <c r="H366" i="2"/>
  <c r="H365" i="2"/>
  <c r="H364" i="2"/>
  <c r="H363" i="2"/>
  <c r="H362" i="2"/>
  <c r="H361" i="2"/>
  <c r="H360" i="2"/>
  <c r="H359" i="2"/>
  <c r="H358" i="2"/>
  <c r="H357" i="2"/>
  <c r="H356" i="2"/>
  <c r="H355" i="2"/>
  <c r="H354" i="2"/>
  <c r="H353" i="2"/>
  <c r="H352" i="2"/>
  <c r="H351" i="2"/>
  <c r="H350" i="2"/>
  <c r="H349" i="2"/>
  <c r="H348" i="2"/>
  <c r="H347" i="2"/>
  <c r="H346" i="2"/>
  <c r="H345" i="2"/>
  <c r="H344" i="2"/>
  <c r="H343" i="2"/>
  <c r="H342" i="2"/>
  <c r="H341" i="2"/>
  <c r="H340" i="2"/>
  <c r="H339" i="2"/>
  <c r="H338" i="2"/>
  <c r="H337" i="2"/>
  <c r="H336" i="2"/>
  <c r="H335" i="2"/>
  <c r="H334" i="2"/>
  <c r="H333" i="2"/>
  <c r="H332" i="2"/>
  <c r="H331" i="2"/>
  <c r="H330" i="2"/>
  <c r="H329" i="2"/>
  <c r="H328" i="2"/>
  <c r="H327" i="2"/>
  <c r="H326" i="2"/>
  <c r="H325" i="2"/>
  <c r="H324" i="2"/>
  <c r="H323" i="2"/>
  <c r="H322" i="2"/>
  <c r="H321" i="2"/>
  <c r="H320" i="2"/>
  <c r="H319" i="2"/>
  <c r="H318" i="2"/>
  <c r="H317" i="2"/>
  <c r="H316" i="2"/>
  <c r="H315" i="2"/>
  <c r="H314" i="2"/>
  <c r="H313" i="2"/>
  <c r="H312" i="2"/>
  <c r="H311" i="2"/>
  <c r="H310" i="2"/>
  <c r="H309" i="2"/>
  <c r="H308" i="2"/>
  <c r="H307" i="2"/>
  <c r="H306" i="2"/>
  <c r="H305" i="2"/>
  <c r="H304" i="2"/>
  <c r="H303" i="2"/>
  <c r="H302" i="2"/>
  <c r="H301" i="2"/>
  <c r="H300" i="2"/>
  <c r="H299" i="2"/>
  <c r="H298" i="2"/>
  <c r="H297" i="2"/>
  <c r="H296" i="2"/>
  <c r="H295" i="2"/>
  <c r="H294" i="2"/>
  <c r="H293" i="2"/>
  <c r="H292" i="2"/>
  <c r="H291" i="2"/>
  <c r="H290" i="2"/>
  <c r="H289" i="2"/>
  <c r="H288" i="2"/>
  <c r="H287" i="2"/>
  <c r="H286" i="2"/>
  <c r="H285" i="2"/>
  <c r="H284" i="2"/>
  <c r="H283" i="2"/>
  <c r="H282" i="2"/>
  <c r="H281" i="2"/>
  <c r="H280" i="2"/>
  <c r="H279" i="2"/>
  <c r="H278" i="2"/>
  <c r="H277" i="2"/>
  <c r="H276" i="2"/>
  <c r="H275" i="2"/>
  <c r="H274" i="2"/>
  <c r="H273" i="2"/>
  <c r="H272" i="2"/>
  <c r="H271" i="2"/>
  <c r="H270" i="2"/>
  <c r="H269" i="2"/>
  <c r="H268" i="2"/>
  <c r="H267" i="2"/>
  <c r="H266" i="2"/>
  <c r="H265" i="2"/>
  <c r="H264" i="2"/>
  <c r="H263" i="2"/>
  <c r="H262" i="2"/>
  <c r="H261" i="2"/>
  <c r="H260" i="2"/>
  <c r="H259" i="2"/>
  <c r="H258" i="2"/>
  <c r="H257" i="2"/>
  <c r="H256" i="2"/>
  <c r="H255" i="2"/>
  <c r="H254" i="2"/>
  <c r="H253" i="2"/>
  <c r="H252" i="2"/>
  <c r="H251" i="2"/>
  <c r="H250" i="2"/>
  <c r="H249" i="2"/>
  <c r="H248" i="2"/>
  <c r="H247" i="2"/>
  <c r="H246" i="2"/>
  <c r="H245" i="2"/>
  <c r="H244" i="2"/>
  <c r="H243" i="2"/>
  <c r="H242" i="2"/>
  <c r="H241" i="2"/>
  <c r="H240" i="2"/>
  <c r="H239" i="2"/>
  <c r="H238" i="2"/>
  <c r="H237" i="2"/>
  <c r="H236" i="2"/>
  <c r="H235" i="2"/>
  <c r="H234" i="2"/>
  <c r="H233" i="2"/>
  <c r="H232" i="2"/>
  <c r="H231" i="2"/>
  <c r="H230" i="2"/>
  <c r="H229" i="2"/>
  <c r="H228" i="2"/>
  <c r="H227" i="2"/>
  <c r="H226" i="2"/>
  <c r="H225" i="2"/>
  <c r="H224" i="2"/>
  <c r="H223" i="2"/>
  <c r="H222" i="2"/>
  <c r="H221" i="2"/>
  <c r="H220" i="2"/>
  <c r="H219" i="2"/>
  <c r="H218" i="2"/>
  <c r="H217" i="2"/>
  <c r="H216" i="2"/>
  <c r="H215" i="2"/>
  <c r="H214" i="2"/>
  <c r="H213" i="2"/>
  <c r="H212" i="2"/>
  <c r="H211" i="2"/>
  <c r="H210" i="2"/>
  <c r="H209" i="2"/>
  <c r="H208" i="2"/>
  <c r="H207" i="2"/>
  <c r="H206" i="2"/>
  <c r="H205" i="2"/>
  <c r="H204" i="2"/>
  <c r="H203" i="2"/>
  <c r="H202" i="2"/>
  <c r="H201" i="2"/>
  <c r="H200" i="2"/>
  <c r="H199" i="2"/>
  <c r="H198" i="2"/>
  <c r="H197" i="2"/>
  <c r="H196" i="2"/>
  <c r="H195" i="2"/>
  <c r="H194" i="2"/>
  <c r="H193" i="2"/>
  <c r="H192" i="2"/>
  <c r="H191" i="2"/>
  <c r="H190" i="2"/>
  <c r="H189" i="2"/>
  <c r="H188" i="2"/>
  <c r="H187" i="2"/>
  <c r="H186" i="2"/>
  <c r="H185" i="2"/>
  <c r="H184" i="2"/>
  <c r="H183" i="2"/>
  <c r="H182" i="2"/>
  <c r="H181" i="2"/>
  <c r="H180" i="2"/>
  <c r="H179" i="2"/>
  <c r="H178" i="2"/>
  <c r="H177" i="2"/>
  <c r="H176" i="2"/>
  <c r="H175" i="2"/>
  <c r="H174" i="2"/>
  <c r="H173" i="2"/>
  <c r="H172" i="2"/>
  <c r="H171" i="2"/>
  <c r="H170" i="2"/>
  <c r="H169" i="2"/>
  <c r="H168" i="2"/>
  <c r="H167" i="2"/>
  <c r="H166" i="2"/>
  <c r="H165" i="2"/>
  <c r="H164" i="2"/>
  <c r="H163" i="2"/>
  <c r="H162" i="2"/>
  <c r="H161" i="2"/>
  <c r="H160" i="2"/>
  <c r="H159" i="2"/>
  <c r="H158" i="2"/>
  <c r="H157" i="2"/>
  <c r="H156" i="2"/>
  <c r="H155" i="2"/>
  <c r="H154" i="2"/>
  <c r="H153" i="2"/>
  <c r="H152" i="2"/>
  <c r="H151" i="2"/>
  <c r="H150" i="2"/>
  <c r="H149" i="2"/>
  <c r="H148" i="2"/>
  <c r="H147" i="2"/>
  <c r="H146" i="2"/>
  <c r="H145" i="2"/>
  <c r="H144" i="2"/>
  <c r="H143" i="2"/>
  <c r="H142" i="2"/>
  <c r="H141" i="2"/>
  <c r="H140" i="2"/>
  <c r="H139" i="2"/>
  <c r="H138" i="2"/>
  <c r="H137" i="2"/>
  <c r="H136" i="2"/>
  <c r="H135" i="2"/>
  <c r="H134" i="2"/>
  <c r="H133" i="2"/>
  <c r="H132" i="2"/>
  <c r="H131" i="2"/>
  <c r="H130" i="2"/>
  <c r="H129" i="2"/>
  <c r="H128" i="2"/>
  <c r="H127" i="2"/>
  <c r="H126" i="2"/>
  <c r="H125" i="2"/>
  <c r="H124" i="2"/>
  <c r="H123" i="2"/>
  <c r="H122" i="2"/>
  <c r="H121" i="2"/>
  <c r="H120" i="2"/>
  <c r="H119" i="2"/>
  <c r="H118" i="2"/>
  <c r="H117" i="2"/>
  <c r="H116" i="2"/>
  <c r="H115" i="2"/>
  <c r="H114" i="2"/>
  <c r="H113" i="2"/>
  <c r="H112" i="2"/>
  <c r="H111" i="2"/>
  <c r="H110" i="2"/>
  <c r="H109" i="2"/>
  <c r="H108" i="2"/>
  <c r="H107" i="2"/>
  <c r="H106" i="2"/>
  <c r="H105" i="2"/>
  <c r="H104" i="2"/>
  <c r="H103" i="2"/>
  <c r="H102" i="2"/>
  <c r="H101" i="2"/>
  <c r="H100" i="2"/>
  <c r="H99" i="2"/>
  <c r="H98" i="2"/>
  <c r="H97" i="2"/>
  <c r="H96" i="2"/>
  <c r="H95" i="2"/>
  <c r="H94" i="2"/>
  <c r="H93" i="2"/>
  <c r="H92" i="2"/>
  <c r="H91" i="2"/>
  <c r="H90" i="2"/>
  <c r="H89" i="2"/>
  <c r="H88" i="2"/>
  <c r="H87" i="2"/>
  <c r="H86" i="2"/>
  <c r="H85" i="2"/>
  <c r="H84" i="2"/>
  <c r="H83" i="2"/>
  <c r="H82" i="2"/>
  <c r="H81" i="2"/>
  <c r="H80" i="2"/>
  <c r="H79" i="2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H57" i="2"/>
  <c r="H56" i="2"/>
  <c r="H55" i="2"/>
  <c r="H54" i="2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  <c r="K2" i="4"/>
  <c r="O2" i="4"/>
  <c r="N2" i="4"/>
  <c r="M2" i="4"/>
  <c r="L2" i="4"/>
  <c r="O26" i="4"/>
  <c r="N26" i="4"/>
  <c r="M26" i="4"/>
  <c r="L26" i="4"/>
  <c r="O25" i="4"/>
  <c r="N25" i="4"/>
  <c r="M25" i="4"/>
  <c r="L25" i="4"/>
  <c r="O24" i="4"/>
  <c r="N24" i="4"/>
  <c r="M24" i="4"/>
  <c r="L24" i="4"/>
  <c r="O23" i="4"/>
  <c r="N23" i="4"/>
  <c r="M23" i="4"/>
  <c r="L23" i="4"/>
  <c r="O22" i="4"/>
  <c r="N22" i="4"/>
  <c r="M22" i="4"/>
  <c r="L22" i="4"/>
  <c r="O21" i="4"/>
  <c r="N21" i="4"/>
  <c r="M21" i="4"/>
  <c r="L21" i="4"/>
  <c r="O20" i="4"/>
  <c r="N20" i="4"/>
  <c r="M20" i="4"/>
  <c r="L20" i="4"/>
  <c r="O19" i="4"/>
  <c r="N19" i="4"/>
  <c r="M19" i="4"/>
  <c r="L19" i="4"/>
  <c r="O18" i="4"/>
  <c r="N18" i="4"/>
  <c r="M18" i="4"/>
  <c r="L18" i="4"/>
  <c r="O17" i="4"/>
  <c r="N17" i="4"/>
  <c r="M17" i="4"/>
  <c r="L17" i="4"/>
  <c r="O16" i="4"/>
  <c r="N16" i="4"/>
  <c r="M16" i="4"/>
  <c r="L16" i="4"/>
  <c r="O15" i="4"/>
  <c r="N15" i="4"/>
  <c r="M15" i="4"/>
  <c r="L15" i="4"/>
  <c r="O14" i="4"/>
  <c r="N14" i="4"/>
  <c r="M14" i="4"/>
  <c r="L14" i="4"/>
  <c r="O13" i="4"/>
  <c r="N13" i="4"/>
  <c r="M13" i="4"/>
  <c r="L13" i="4"/>
  <c r="O12" i="4"/>
  <c r="N12" i="4"/>
  <c r="M12" i="4"/>
  <c r="L12" i="4"/>
  <c r="O11" i="4"/>
  <c r="N11" i="4"/>
  <c r="M11" i="4"/>
  <c r="L11" i="4"/>
  <c r="O10" i="4"/>
  <c r="N10" i="4"/>
  <c r="M10" i="4"/>
  <c r="L10" i="4"/>
  <c r="O9" i="4"/>
  <c r="N9" i="4"/>
  <c r="M9" i="4"/>
  <c r="L9" i="4"/>
  <c r="O8" i="4"/>
  <c r="N8" i="4"/>
  <c r="M8" i="4"/>
  <c r="L8" i="4"/>
  <c r="O7" i="4"/>
  <c r="N7" i="4"/>
  <c r="M7" i="4"/>
  <c r="L7" i="4"/>
  <c r="O6" i="4"/>
  <c r="N6" i="4"/>
  <c r="M6" i="4"/>
  <c r="L6" i="4"/>
  <c r="O5" i="4"/>
  <c r="N5" i="4"/>
  <c r="M5" i="4"/>
  <c r="L5" i="4"/>
  <c r="O4" i="4"/>
  <c r="N4" i="4"/>
  <c r="M4" i="4"/>
  <c r="L4" i="4"/>
  <c r="O3" i="4"/>
  <c r="N3" i="4"/>
  <c r="M3" i="4"/>
  <c r="L3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1" i="4"/>
  <c r="K10" i="4"/>
  <c r="K9" i="4"/>
  <c r="K8" i="4"/>
  <c r="K7" i="4"/>
  <c r="K6" i="4"/>
  <c r="K5" i="4"/>
  <c r="K4" i="4"/>
  <c r="K3" i="4"/>
  <c r="D201" i="4"/>
  <c r="D200" i="4"/>
  <c r="D199" i="4"/>
  <c r="D198" i="4"/>
  <c r="D197" i="4"/>
  <c r="D196" i="4"/>
  <c r="D195" i="4"/>
  <c r="D194" i="4"/>
  <c r="D193" i="4"/>
  <c r="D192" i="4"/>
  <c r="D191" i="4"/>
  <c r="D190" i="4"/>
  <c r="D189" i="4"/>
  <c r="D188" i="4"/>
  <c r="D187" i="4"/>
  <c r="D186" i="4"/>
  <c r="D185" i="4"/>
  <c r="D184" i="4"/>
  <c r="D183" i="4"/>
  <c r="D182" i="4"/>
  <c r="D181" i="4"/>
  <c r="D180" i="4"/>
  <c r="D179" i="4"/>
  <c r="D178" i="4"/>
  <c r="D177" i="4"/>
  <c r="D176" i="4"/>
  <c r="D175" i="4"/>
  <c r="D174" i="4"/>
  <c r="D173" i="4"/>
  <c r="D172" i="4"/>
  <c r="D171" i="4"/>
  <c r="D170" i="4"/>
  <c r="D169" i="4"/>
  <c r="D168" i="4"/>
  <c r="D167" i="4"/>
  <c r="D166" i="4"/>
  <c r="D165" i="4"/>
  <c r="D164" i="4"/>
  <c r="D163" i="4"/>
  <c r="D162" i="4"/>
  <c r="D161" i="4"/>
  <c r="D160" i="4"/>
  <c r="D159" i="4"/>
  <c r="D158" i="4"/>
  <c r="D157" i="4"/>
  <c r="D156" i="4"/>
  <c r="D155" i="4"/>
  <c r="D154" i="4"/>
  <c r="D153" i="4"/>
  <c r="D152" i="4"/>
  <c r="D151" i="4"/>
  <c r="D150" i="4"/>
  <c r="D149" i="4"/>
  <c r="D148" i="4"/>
  <c r="D147" i="4"/>
  <c r="D146" i="4"/>
  <c r="D145" i="4"/>
  <c r="D144" i="4"/>
  <c r="D143" i="4"/>
  <c r="D142" i="4"/>
  <c r="D141" i="4"/>
  <c r="D140" i="4"/>
  <c r="D139" i="4"/>
  <c r="D138" i="4"/>
  <c r="D137" i="4"/>
  <c r="D136" i="4"/>
  <c r="D135" i="4"/>
  <c r="D134" i="4"/>
  <c r="D133" i="4"/>
  <c r="D132" i="4"/>
  <c r="D131" i="4"/>
  <c r="D130" i="4"/>
  <c r="D129" i="4"/>
  <c r="D128" i="4"/>
  <c r="D127" i="4"/>
  <c r="D126" i="4"/>
  <c r="D125" i="4"/>
  <c r="D124" i="4"/>
  <c r="D123" i="4"/>
  <c r="D122" i="4"/>
  <c r="D121" i="4"/>
  <c r="D120" i="4"/>
  <c r="D119" i="4"/>
  <c r="D118" i="4"/>
  <c r="D117" i="4"/>
  <c r="D116" i="4"/>
  <c r="D115" i="4"/>
  <c r="D114" i="4"/>
  <c r="D113" i="4"/>
  <c r="D112" i="4"/>
  <c r="D111" i="4"/>
  <c r="D110" i="4"/>
  <c r="D109" i="4"/>
  <c r="D108" i="4"/>
  <c r="D107" i="4"/>
  <c r="D106" i="4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D5" i="4"/>
  <c r="D4" i="4"/>
  <c r="D3" i="4"/>
  <c r="D2" i="4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" i="3"/>
  <c r="E201" i="3"/>
  <c r="E200" i="3"/>
  <c r="E199" i="3"/>
  <c r="E198" i="3"/>
  <c r="E197" i="3"/>
  <c r="E196" i="3"/>
  <c r="E195" i="3"/>
  <c r="E194" i="3"/>
  <c r="E193" i="3"/>
  <c r="E192" i="3"/>
  <c r="E191" i="3"/>
  <c r="E190" i="3"/>
  <c r="E189" i="3"/>
  <c r="E188" i="3"/>
  <c r="E187" i="3"/>
  <c r="E186" i="3"/>
  <c r="E185" i="3"/>
  <c r="E184" i="3"/>
  <c r="E183" i="3"/>
  <c r="E182" i="3"/>
  <c r="E181" i="3"/>
  <c r="E180" i="3"/>
  <c r="E179" i="3"/>
  <c r="E178" i="3"/>
  <c r="E177" i="3"/>
  <c r="E176" i="3"/>
  <c r="E175" i="3"/>
  <c r="E174" i="3"/>
  <c r="E173" i="3"/>
  <c r="E172" i="3"/>
  <c r="E171" i="3"/>
  <c r="E170" i="3"/>
  <c r="E169" i="3"/>
  <c r="E168" i="3"/>
  <c r="E167" i="3"/>
  <c r="E166" i="3"/>
  <c r="E165" i="3"/>
  <c r="E164" i="3"/>
  <c r="E163" i="3"/>
  <c r="E162" i="3"/>
  <c r="E161" i="3"/>
  <c r="E160" i="3"/>
  <c r="E159" i="3"/>
  <c r="E158" i="3"/>
  <c r="E157" i="3"/>
  <c r="E156" i="3"/>
  <c r="E155" i="3"/>
  <c r="E154" i="3"/>
  <c r="E153" i="3"/>
  <c r="E152" i="3"/>
  <c r="E151" i="3"/>
  <c r="E150" i="3"/>
  <c r="E149" i="3"/>
  <c r="E148" i="3"/>
  <c r="E147" i="3"/>
  <c r="E146" i="3"/>
  <c r="E145" i="3"/>
  <c r="E144" i="3"/>
  <c r="E143" i="3"/>
  <c r="E142" i="3"/>
  <c r="E141" i="3"/>
  <c r="E140" i="3"/>
  <c r="E139" i="3"/>
  <c r="E138" i="3"/>
  <c r="E137" i="3"/>
  <c r="E136" i="3"/>
  <c r="E135" i="3"/>
  <c r="E134" i="3"/>
  <c r="E133" i="3"/>
  <c r="E132" i="3"/>
  <c r="E131" i="3"/>
  <c r="E130" i="3"/>
  <c r="E129" i="3"/>
  <c r="E128" i="3"/>
  <c r="E127" i="3"/>
  <c r="E126" i="3"/>
  <c r="E125" i="3"/>
  <c r="E124" i="3"/>
  <c r="E123" i="3"/>
  <c r="E122" i="3"/>
  <c r="E121" i="3"/>
  <c r="E120" i="3"/>
  <c r="E119" i="3"/>
  <c r="E118" i="3"/>
  <c r="E117" i="3"/>
  <c r="E116" i="3"/>
  <c r="E115" i="3"/>
  <c r="E114" i="3"/>
  <c r="E113" i="3"/>
  <c r="E112" i="3"/>
  <c r="E111" i="3"/>
  <c r="E110" i="3"/>
  <c r="E109" i="3"/>
  <c r="E108" i="3"/>
  <c r="E107" i="3"/>
  <c r="E106" i="3"/>
  <c r="E105" i="3"/>
  <c r="E104" i="3"/>
  <c r="E103" i="3"/>
  <c r="E102" i="3"/>
  <c r="E101" i="3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E2" i="3"/>
  <c r="AM44" i="3" l="1"/>
  <c r="AN31" i="3"/>
  <c r="AR7" i="3"/>
  <c r="AO30" i="3"/>
  <c r="AO3" i="3"/>
  <c r="AN3" i="3"/>
  <c r="AN32" i="3"/>
  <c r="AN16" i="3"/>
  <c r="AO6" i="3"/>
  <c r="AM12" i="3"/>
  <c r="AN11" i="3"/>
  <c r="AO7" i="3"/>
  <c r="AO11" i="3"/>
  <c r="AM11" i="3"/>
  <c r="AQ7" i="3"/>
  <c r="AP7" i="3"/>
  <c r="AN7" i="3"/>
  <c r="AP6" i="3"/>
  <c r="AQ5" i="3"/>
  <c r="AN5" i="3"/>
  <c r="AM24" i="3"/>
  <c r="AR189" i="3"/>
  <c r="AR121" i="3"/>
  <c r="AO151" i="3"/>
  <c r="AO93" i="3"/>
  <c r="AQ72" i="3"/>
  <c r="AM71" i="3"/>
  <c r="AR24" i="3"/>
  <c r="AM190" i="3"/>
  <c r="AQ151" i="3"/>
  <c r="AM103" i="3"/>
  <c r="AR82" i="3"/>
  <c r="AM16" i="3"/>
  <c r="AQ161" i="3"/>
  <c r="AO111" i="3"/>
  <c r="AN91" i="3"/>
  <c r="AM39" i="3"/>
  <c r="AR170" i="3"/>
  <c r="AN111" i="3"/>
  <c r="AO81" i="3"/>
  <c r="AR38" i="3"/>
  <c r="AO197" i="3"/>
  <c r="AQ170" i="3"/>
  <c r="AN131" i="3"/>
  <c r="AP121" i="3"/>
  <c r="AR90" i="3"/>
  <c r="AQ80" i="3"/>
  <c r="AQ38" i="3"/>
  <c r="AQ196" i="3"/>
  <c r="AM170" i="3"/>
  <c r="AM131" i="3"/>
  <c r="AQ90" i="3"/>
  <c r="AP38" i="3"/>
  <c r="AO14" i="3"/>
  <c r="AN187" i="3"/>
  <c r="AN160" i="3"/>
  <c r="AQ110" i="3"/>
  <c r="AN100" i="3"/>
  <c r="AM80" i="3"/>
  <c r="AO38" i="3"/>
  <c r="AM196" i="3"/>
  <c r="AQ169" i="3"/>
  <c r="AQ130" i="3"/>
  <c r="AM100" i="3"/>
  <c r="AN48" i="3"/>
  <c r="AR22" i="3"/>
  <c r="AR195" i="3"/>
  <c r="AP169" i="3"/>
  <c r="AP130" i="3"/>
  <c r="AQ79" i="3"/>
  <c r="AM38" i="3"/>
  <c r="AR12" i="3"/>
  <c r="AQ195" i="3"/>
  <c r="AQ186" i="3"/>
  <c r="AO177" i="3"/>
  <c r="AQ168" i="3"/>
  <c r="AO130" i="3"/>
  <c r="AR119" i="3"/>
  <c r="AN110" i="3"/>
  <c r="AQ99" i="3"/>
  <c r="AM90" i="3"/>
  <c r="AP79" i="3"/>
  <c r="AR69" i="3"/>
  <c r="AR58" i="3"/>
  <c r="AR47" i="3"/>
  <c r="AR37" i="3"/>
  <c r="AP22" i="3"/>
  <c r="AQ12" i="3"/>
  <c r="AR202" i="3"/>
  <c r="AM195" i="3"/>
  <c r="AP186" i="3"/>
  <c r="AQ176" i="3"/>
  <c r="AM167" i="3"/>
  <c r="AM159" i="3"/>
  <c r="AQ149" i="3"/>
  <c r="AO139" i="3"/>
  <c r="AQ129" i="3"/>
  <c r="AN119" i="3"/>
  <c r="AP109" i="3"/>
  <c r="AM99" i="3"/>
  <c r="AO89" i="3"/>
  <c r="AR78" i="3"/>
  <c r="AN68" i="3"/>
  <c r="AN58" i="3"/>
  <c r="AN47" i="3"/>
  <c r="AN36" i="3"/>
  <c r="AN171" i="3"/>
  <c r="AQ133" i="3"/>
  <c r="AO62" i="3"/>
  <c r="AQ197" i="3"/>
  <c r="AP151" i="3"/>
  <c r="AQ101" i="3"/>
  <c r="AM50" i="3"/>
  <c r="AP197" i="3"/>
  <c r="AP161" i="3"/>
  <c r="AP101" i="3"/>
  <c r="AM91" i="3"/>
  <c r="AR49" i="3"/>
  <c r="AQ141" i="3"/>
  <c r="AQ59" i="3"/>
  <c r="AO15" i="3"/>
  <c r="AP187" i="3"/>
  <c r="AM151" i="3"/>
  <c r="AO121" i="3"/>
  <c r="AN80" i="3"/>
  <c r="AP70" i="3"/>
  <c r="AR169" i="3"/>
  <c r="AR150" i="3"/>
  <c r="AQ120" i="3"/>
  <c r="AP90" i="3"/>
  <c r="AQ48" i="3"/>
  <c r="AM23" i="3"/>
  <c r="AR178" i="3"/>
  <c r="AQ140" i="3"/>
  <c r="AN120" i="3"/>
  <c r="AN59" i="3"/>
  <c r="AM13" i="3"/>
  <c r="AP177" i="3"/>
  <c r="AP150" i="3"/>
  <c r="AM120" i="3"/>
  <c r="AM59" i="3"/>
  <c r="AR4" i="3"/>
  <c r="AM140" i="3"/>
  <c r="AM3" i="3"/>
  <c r="AM21" i="3"/>
  <c r="AP12" i="3"/>
  <c r="AP202" i="3"/>
  <c r="AR194" i="3"/>
  <c r="AO186" i="3"/>
  <c r="AN176" i="3"/>
  <c r="AR166" i="3"/>
  <c r="AQ158" i="3"/>
  <c r="AP149" i="3"/>
  <c r="AN139" i="3"/>
  <c r="AP129" i="3"/>
  <c r="AM119" i="3"/>
  <c r="AO109" i="3"/>
  <c r="AR98" i="3"/>
  <c r="AQ88" i="3"/>
  <c r="AQ78" i="3"/>
  <c r="AM68" i="3"/>
  <c r="AM58" i="3"/>
  <c r="AM47" i="3"/>
  <c r="AM36" i="3"/>
  <c r="AO181" i="3"/>
  <c r="AO143" i="3"/>
  <c r="AN123" i="3"/>
  <c r="AO51" i="3"/>
  <c r="AQ180" i="3"/>
  <c r="AM142" i="3"/>
  <c r="AM60" i="3"/>
  <c r="AQ23" i="3"/>
  <c r="AQ179" i="3"/>
  <c r="AO131" i="3"/>
  <c r="AR70" i="3"/>
  <c r="AQ15" i="3"/>
  <c r="AO189" i="3"/>
  <c r="AO161" i="3"/>
  <c r="AO101" i="3"/>
  <c r="AQ49" i="3"/>
  <c r="AO23" i="3"/>
  <c r="AO179" i="3"/>
  <c r="AP141" i="3"/>
  <c r="AQ100" i="3"/>
  <c r="AP49" i="3"/>
  <c r="AN196" i="3"/>
  <c r="AO141" i="3"/>
  <c r="AO59" i="3"/>
  <c r="AN13" i="3"/>
  <c r="AM187" i="3"/>
  <c r="AQ150" i="3"/>
  <c r="AP110" i="3"/>
  <c r="AO90" i="3"/>
  <c r="AN70" i="3"/>
  <c r="AN38" i="3"/>
  <c r="AR186" i="3"/>
  <c r="AN140" i="3"/>
  <c r="AR99" i="3"/>
  <c r="AM70" i="3"/>
  <c r="AR149" i="3"/>
  <c r="AQ3" i="3"/>
  <c r="AR20" i="3"/>
  <c r="AO12" i="3"/>
  <c r="AO202" i="3"/>
  <c r="AQ194" i="3"/>
  <c r="AN186" i="3"/>
  <c r="AM176" i="3"/>
  <c r="AQ166" i="3"/>
  <c r="AO157" i="3"/>
  <c r="AO149" i="3"/>
  <c r="AM139" i="3"/>
  <c r="AO129" i="3"/>
  <c r="AR118" i="3"/>
  <c r="AQ108" i="3"/>
  <c r="AQ98" i="3"/>
  <c r="AN88" i="3"/>
  <c r="AP78" i="3"/>
  <c r="AR67" i="3"/>
  <c r="AR57" i="3"/>
  <c r="AR46" i="3"/>
  <c r="AR35" i="3"/>
  <c r="AM198" i="3"/>
  <c r="AR161" i="3"/>
  <c r="AP113" i="3"/>
  <c r="AQ40" i="3"/>
  <c r="AM171" i="3"/>
  <c r="AP131" i="3"/>
  <c r="AP81" i="3"/>
  <c r="AR15" i="3"/>
  <c r="AQ189" i="3"/>
  <c r="AR141" i="3"/>
  <c r="AQ121" i="3"/>
  <c r="AR59" i="3"/>
  <c r="AP23" i="3"/>
  <c r="AP179" i="3"/>
  <c r="AN151" i="3"/>
  <c r="AM111" i="3"/>
  <c r="AQ70" i="3"/>
  <c r="AQ160" i="3"/>
  <c r="AR110" i="3"/>
  <c r="AP59" i="3"/>
  <c r="AN23" i="3"/>
  <c r="AN179" i="3"/>
  <c r="AR130" i="3"/>
  <c r="AO70" i="3"/>
  <c r="AP159" i="3"/>
  <c r="AR79" i="3"/>
  <c r="AO159" i="3"/>
  <c r="AO110" i="3"/>
  <c r="AN90" i="3"/>
  <c r="AM48" i="3"/>
  <c r="AQ22" i="3"/>
  <c r="AN159" i="3"/>
  <c r="AP3" i="3"/>
  <c r="AQ20" i="3"/>
  <c r="AN12" i="3"/>
  <c r="AN202" i="3"/>
  <c r="AP194" i="3"/>
  <c r="AM186" i="3"/>
  <c r="AR175" i="3"/>
  <c r="AP166" i="3"/>
  <c r="AQ156" i="3"/>
  <c r="AN148" i="3"/>
  <c r="AP138" i="3"/>
  <c r="AM128" i="3"/>
  <c r="AO118" i="3"/>
  <c r="AR107" i="3"/>
  <c r="AN98" i="3"/>
  <c r="AQ87" i="3"/>
  <c r="AM78" i="3"/>
  <c r="AO67" i="3"/>
  <c r="AQ56" i="3"/>
  <c r="AO46" i="3"/>
  <c r="AO35" i="3"/>
  <c r="AM34" i="3"/>
  <c r="AR33" i="3"/>
  <c r="AR146" i="3"/>
  <c r="AM96" i="3"/>
  <c r="AR65" i="3"/>
  <c r="AQ175" i="3"/>
  <c r="AO86" i="3"/>
  <c r="AQ184" i="3"/>
  <c r="AN86" i="3"/>
  <c r="AN19" i="3"/>
  <c r="AN106" i="3"/>
  <c r="AR165" i="3"/>
  <c r="AO185" i="3"/>
  <c r="AR75" i="3"/>
  <c r="AQ192" i="3"/>
  <c r="AR95" i="3"/>
  <c r="AQ201" i="3"/>
  <c r="AP75" i="3"/>
  <c r="AO146" i="3"/>
  <c r="AN194" i="3"/>
  <c r="AP106" i="3"/>
  <c r="AN136" i="3"/>
  <c r="AM192" i="3"/>
  <c r="AQ65" i="3"/>
  <c r="AQ174" i="3"/>
  <c r="AN156" i="3"/>
  <c r="AN116" i="3"/>
  <c r="AM66" i="3"/>
  <c r="AN166" i="3"/>
  <c r="AM116" i="3"/>
  <c r="AR54" i="3"/>
  <c r="AR174" i="3"/>
  <c r="AP146" i="3"/>
  <c r="AQ95" i="3"/>
  <c r="AQ43" i="3"/>
  <c r="AR18" i="3"/>
  <c r="AP201" i="3"/>
  <c r="AM184" i="3"/>
  <c r="AQ155" i="3"/>
  <c r="AR135" i="3"/>
  <c r="AN126" i="3"/>
  <c r="AM106" i="3"/>
  <c r="AP95" i="3"/>
  <c r="AR85" i="3"/>
  <c r="AO75" i="3"/>
  <c r="AP65" i="3"/>
  <c r="AP43" i="3"/>
  <c r="AQ18" i="3"/>
  <c r="AR10" i="3"/>
  <c r="AO201" i="3"/>
  <c r="AQ191" i="3"/>
  <c r="AQ183" i="3"/>
  <c r="AP174" i="3"/>
  <c r="AQ164" i="3"/>
  <c r="AP155" i="3"/>
  <c r="AN146" i="3"/>
  <c r="AQ135" i="3"/>
  <c r="AM126" i="3"/>
  <c r="AP115" i="3"/>
  <c r="AR105" i="3"/>
  <c r="AO95" i="3"/>
  <c r="AQ85" i="3"/>
  <c r="AN75" i="3"/>
  <c r="AQ64" i="3"/>
  <c r="AO43" i="3"/>
  <c r="AR199" i="3"/>
  <c r="AN164" i="3"/>
  <c r="AP135" i="3"/>
  <c r="AQ105" i="3"/>
  <c r="AP85" i="3"/>
  <c r="AN64" i="3"/>
  <c r="AN43" i="3"/>
  <c r="AO18" i="3"/>
  <c r="AQ8" i="3"/>
  <c r="AO191" i="3"/>
  <c r="AN182" i="3"/>
  <c r="AM164" i="3"/>
  <c r="AQ154" i="3"/>
  <c r="AR145" i="3"/>
  <c r="AQ125" i="3"/>
  <c r="AN115" i="3"/>
  <c r="AP105" i="3"/>
  <c r="AM95" i="3"/>
  <c r="AO85" i="3"/>
  <c r="AR74" i="3"/>
  <c r="AM64" i="3"/>
  <c r="AM54" i="3"/>
  <c r="AM43" i="3"/>
  <c r="AR31" i="3"/>
  <c r="AP26" i="3"/>
  <c r="AQ17" i="3"/>
  <c r="AO8" i="3"/>
  <c r="AP199" i="3"/>
  <c r="AN191" i="3"/>
  <c r="AM182" i="3"/>
  <c r="AR171" i="3"/>
  <c r="AR163" i="3"/>
  <c r="AP154" i="3"/>
  <c r="AQ145" i="3"/>
  <c r="AN135" i="3"/>
  <c r="AP125" i="3"/>
  <c r="AM115" i="3"/>
  <c r="AO105" i="3"/>
  <c r="AR94" i="3"/>
  <c r="AQ84" i="3"/>
  <c r="AQ74" i="3"/>
  <c r="AR63" i="3"/>
  <c r="AR53" i="3"/>
  <c r="AR42" i="3"/>
  <c r="AP20" i="3"/>
  <c r="AQ136" i="3"/>
  <c r="AM55" i="3"/>
  <c r="AN20" i="3"/>
  <c r="AM156" i="3"/>
  <c r="AQ75" i="3"/>
  <c r="AM166" i="3"/>
  <c r="AO126" i="3"/>
  <c r="AQ54" i="3"/>
  <c r="AR191" i="3"/>
  <c r="AQ115" i="3"/>
  <c r="AM202" i="3"/>
  <c r="AO166" i="3"/>
  <c r="AQ126" i="3"/>
  <c r="AR201" i="3"/>
  <c r="AP175" i="3"/>
  <c r="AQ146" i="3"/>
  <c r="AP126" i="3"/>
  <c r="AO106" i="3"/>
  <c r="AR43" i="3"/>
  <c r="AR27" i="3"/>
  <c r="AN184" i="3"/>
  <c r="AR155" i="3"/>
  <c r="AM136" i="3"/>
  <c r="AR115" i="3"/>
  <c r="AM86" i="3"/>
  <c r="AQ33" i="3"/>
  <c r="AQ27" i="3"/>
  <c r="AP54" i="3"/>
  <c r="AQ32" i="3"/>
  <c r="AP27" i="3"/>
  <c r="AO54" i="3"/>
  <c r="AM28" i="3"/>
  <c r="AO28" i="3"/>
  <c r="AO32" i="3"/>
  <c r="AO36" i="3"/>
  <c r="AO40" i="3"/>
  <c r="AO44" i="3"/>
  <c r="AO48" i="3"/>
  <c r="AO52" i="3"/>
  <c r="AO56" i="3"/>
  <c r="AO60" i="3"/>
  <c r="AO64" i="3"/>
  <c r="AO68" i="3"/>
  <c r="AO72" i="3"/>
  <c r="AO76" i="3"/>
  <c r="AO80" i="3"/>
  <c r="AO84" i="3"/>
  <c r="AO88" i="3"/>
  <c r="AO92" i="3"/>
  <c r="AO96" i="3"/>
  <c r="AO100" i="3"/>
  <c r="AO104" i="3"/>
  <c r="AO108" i="3"/>
  <c r="AO112" i="3"/>
  <c r="AO116" i="3"/>
  <c r="AO120" i="3"/>
  <c r="AO124" i="3"/>
  <c r="AO128" i="3"/>
  <c r="AO132" i="3"/>
  <c r="AO136" i="3"/>
  <c r="AO140" i="3"/>
  <c r="AO144" i="3"/>
  <c r="AO148" i="3"/>
  <c r="AO152" i="3"/>
  <c r="AO156" i="3"/>
  <c r="AO160" i="3"/>
  <c r="AO164" i="3"/>
  <c r="AO168" i="3"/>
  <c r="AO172" i="3"/>
  <c r="AO176" i="3"/>
  <c r="AO180" i="3"/>
  <c r="AO184" i="3"/>
  <c r="AO188" i="3"/>
  <c r="AO192" i="3"/>
  <c r="AO196" i="3"/>
  <c r="AO200" i="3"/>
  <c r="AO5" i="3"/>
  <c r="AO9" i="3"/>
  <c r="AO13" i="3"/>
  <c r="AO17" i="3"/>
  <c r="AO21" i="3"/>
  <c r="AO25" i="3"/>
  <c r="AP28" i="3"/>
  <c r="AP32" i="3"/>
  <c r="AP36" i="3"/>
  <c r="AP40" i="3"/>
  <c r="AP44" i="3"/>
  <c r="AP48" i="3"/>
  <c r="AP52" i="3"/>
  <c r="AP56" i="3"/>
  <c r="AP60" i="3"/>
  <c r="AP64" i="3"/>
  <c r="AP68" i="3"/>
  <c r="AP72" i="3"/>
  <c r="AP76" i="3"/>
  <c r="AP80" i="3"/>
  <c r="AP84" i="3"/>
  <c r="AP88" i="3"/>
  <c r="AP92" i="3"/>
  <c r="AP96" i="3"/>
  <c r="AP100" i="3"/>
  <c r="AP104" i="3"/>
  <c r="AP108" i="3"/>
  <c r="AP112" i="3"/>
  <c r="AP116" i="3"/>
  <c r="AP120" i="3"/>
  <c r="AP124" i="3"/>
  <c r="AP128" i="3"/>
  <c r="AP132" i="3"/>
  <c r="AP136" i="3"/>
  <c r="AP140" i="3"/>
  <c r="AP144" i="3"/>
  <c r="AP148" i="3"/>
  <c r="AP152" i="3"/>
  <c r="AP156" i="3"/>
  <c r="AP160" i="3"/>
  <c r="AP164" i="3"/>
  <c r="AP168" i="3"/>
  <c r="AP172" i="3"/>
  <c r="AP176" i="3"/>
  <c r="AP180" i="3"/>
  <c r="AP184" i="3"/>
  <c r="AP188" i="3"/>
  <c r="AP192" i="3"/>
  <c r="AP196" i="3"/>
  <c r="AP200" i="3"/>
  <c r="AP5" i="3"/>
  <c r="AP9" i="3"/>
  <c r="AP13" i="3"/>
  <c r="AP17" i="3"/>
  <c r="AP21" i="3"/>
  <c r="AP25" i="3"/>
  <c r="AR28" i="3"/>
  <c r="AR32" i="3"/>
  <c r="AR36" i="3"/>
  <c r="AR40" i="3"/>
  <c r="AR44" i="3"/>
  <c r="AR48" i="3"/>
  <c r="AR52" i="3"/>
  <c r="AR56" i="3"/>
  <c r="AR60" i="3"/>
  <c r="AR64" i="3"/>
  <c r="AR68" i="3"/>
  <c r="AR72" i="3"/>
  <c r="AR76" i="3"/>
  <c r="AR80" i="3"/>
  <c r="AR84" i="3"/>
  <c r="AR88" i="3"/>
  <c r="AR92" i="3"/>
  <c r="AR96" i="3"/>
  <c r="AR100" i="3"/>
  <c r="AR104" i="3"/>
  <c r="AR108" i="3"/>
  <c r="AR112" i="3"/>
  <c r="AR116" i="3"/>
  <c r="AR120" i="3"/>
  <c r="AR124" i="3"/>
  <c r="AR128" i="3"/>
  <c r="AR132" i="3"/>
  <c r="AR136" i="3"/>
  <c r="AR140" i="3"/>
  <c r="AR144" i="3"/>
  <c r="AR148" i="3"/>
  <c r="AR152" i="3"/>
  <c r="AR156" i="3"/>
  <c r="AR160" i="3"/>
  <c r="AR164" i="3"/>
  <c r="AR168" i="3"/>
  <c r="AR172" i="3"/>
  <c r="AR176" i="3"/>
  <c r="AR180" i="3"/>
  <c r="AR184" i="3"/>
  <c r="AR188" i="3"/>
  <c r="AR192" i="3"/>
  <c r="AR196" i="3"/>
  <c r="AR200" i="3"/>
  <c r="AR5" i="3"/>
  <c r="AR9" i="3"/>
  <c r="AR13" i="3"/>
  <c r="AR17" i="3"/>
  <c r="AR21" i="3"/>
  <c r="AR25" i="3"/>
  <c r="AN33" i="3"/>
  <c r="AN37" i="3"/>
  <c r="AN41" i="3"/>
  <c r="AN45" i="3"/>
  <c r="AN53" i="3"/>
  <c r="AN61" i="3"/>
  <c r="AN69" i="3"/>
  <c r="AN77" i="3"/>
  <c r="AN85" i="3"/>
  <c r="AN93" i="3"/>
  <c r="AN101" i="3"/>
  <c r="AN109" i="3"/>
  <c r="AN117" i="3"/>
  <c r="AN125" i="3"/>
  <c r="AN133" i="3"/>
  <c r="AN141" i="3"/>
  <c r="AN149" i="3"/>
  <c r="AN153" i="3"/>
  <c r="AN161" i="3"/>
  <c r="AN169" i="3"/>
  <c r="AN177" i="3"/>
  <c r="AN185" i="3"/>
  <c r="AN197" i="3"/>
  <c r="AN6" i="3"/>
  <c r="AN14" i="3"/>
  <c r="AN22" i="3"/>
  <c r="AM29" i="3"/>
  <c r="AM33" i="3"/>
  <c r="AM37" i="3"/>
  <c r="AM41" i="3"/>
  <c r="AM45" i="3"/>
  <c r="AM49" i="3"/>
  <c r="AM53" i="3"/>
  <c r="AM57" i="3"/>
  <c r="AM61" i="3"/>
  <c r="AM65" i="3"/>
  <c r="AM69" i="3"/>
  <c r="AM73" i="3"/>
  <c r="AM77" i="3"/>
  <c r="AM81" i="3"/>
  <c r="AM85" i="3"/>
  <c r="AM89" i="3"/>
  <c r="AM93" i="3"/>
  <c r="AM97" i="3"/>
  <c r="AM101" i="3"/>
  <c r="AM105" i="3"/>
  <c r="AM109" i="3"/>
  <c r="AM113" i="3"/>
  <c r="AM117" i="3"/>
  <c r="AM121" i="3"/>
  <c r="AM125" i="3"/>
  <c r="AM129" i="3"/>
  <c r="AM133" i="3"/>
  <c r="AM137" i="3"/>
  <c r="AM141" i="3"/>
  <c r="AM145" i="3"/>
  <c r="AM149" i="3"/>
  <c r="AM153" i="3"/>
  <c r="AM157" i="3"/>
  <c r="AM161" i="3"/>
  <c r="AM165" i="3"/>
  <c r="AM169" i="3"/>
  <c r="AM173" i="3"/>
  <c r="AM177" i="3"/>
  <c r="AM181" i="3"/>
  <c r="AM185" i="3"/>
  <c r="AM189" i="3"/>
  <c r="AM193" i="3"/>
  <c r="AM197" i="3"/>
  <c r="AM201" i="3"/>
  <c r="AM6" i="3"/>
  <c r="AM10" i="3"/>
  <c r="AM14" i="3"/>
  <c r="AM18" i="3"/>
  <c r="AM22" i="3"/>
  <c r="AM26" i="3"/>
  <c r="AN29" i="3"/>
  <c r="AN49" i="3"/>
  <c r="AN57" i="3"/>
  <c r="AN65" i="3"/>
  <c r="AN73" i="3"/>
  <c r="AN81" i="3"/>
  <c r="AN89" i="3"/>
  <c r="AN97" i="3"/>
  <c r="AN105" i="3"/>
  <c r="AN113" i="3"/>
  <c r="AN121" i="3"/>
  <c r="AN129" i="3"/>
  <c r="AN137" i="3"/>
  <c r="AN145" i="3"/>
  <c r="AN157" i="3"/>
  <c r="AN165" i="3"/>
  <c r="AN173" i="3"/>
  <c r="AN181" i="3"/>
  <c r="AN189" i="3"/>
  <c r="AN193" i="3"/>
  <c r="AN201" i="3"/>
  <c r="AN10" i="3"/>
  <c r="AN18" i="3"/>
  <c r="AN26" i="3"/>
  <c r="AO29" i="3"/>
  <c r="AO33" i="3"/>
  <c r="AO37" i="3"/>
  <c r="AO41" i="3"/>
  <c r="AO45" i="3"/>
  <c r="AO49" i="3"/>
  <c r="AO53" i="3"/>
  <c r="AO57" i="3"/>
  <c r="AO61" i="3"/>
  <c r="AO65" i="3"/>
  <c r="AO69" i="3"/>
  <c r="AN28" i="3"/>
  <c r="AN34" i="3"/>
  <c r="AN39" i="3"/>
  <c r="AN44" i="3"/>
  <c r="AN50" i="3"/>
  <c r="AN55" i="3"/>
  <c r="AN60" i="3"/>
  <c r="AN66" i="3"/>
  <c r="AN71" i="3"/>
  <c r="AM76" i="3"/>
  <c r="AQ81" i="3"/>
  <c r="AP86" i="3"/>
  <c r="AO91" i="3"/>
  <c r="AN96" i="3"/>
  <c r="AR101" i="3"/>
  <c r="AQ106" i="3"/>
  <c r="AP111" i="3"/>
  <c r="AQ116" i="3"/>
  <c r="AM122" i="3"/>
  <c r="AR126" i="3"/>
  <c r="AQ131" i="3"/>
  <c r="AO137" i="3"/>
  <c r="AN142" i="3"/>
  <c r="AM147" i="3"/>
  <c r="AR151" i="3"/>
  <c r="AP157" i="3"/>
  <c r="AO162" i="3"/>
  <c r="AN167" i="3"/>
  <c r="AM172" i="3"/>
  <c r="AQ177" i="3"/>
  <c r="AP182" i="3"/>
  <c r="AO187" i="3"/>
  <c r="AN192" i="3"/>
  <c r="AR197" i="3"/>
  <c r="AQ202" i="3"/>
  <c r="AP8" i="3"/>
  <c r="AQ13" i="3"/>
  <c r="AM19" i="3"/>
  <c r="AR23" i="3"/>
  <c r="AR3" i="3"/>
  <c r="AQ28" i="3"/>
  <c r="AO34" i="3"/>
  <c r="AO39" i="3"/>
  <c r="AQ44" i="3"/>
  <c r="AO50" i="3"/>
  <c r="AO55" i="3"/>
  <c r="AQ60" i="3"/>
  <c r="AO66" i="3"/>
  <c r="AO71" i="3"/>
  <c r="AN76" i="3"/>
  <c r="AR81" i="3"/>
  <c r="AQ86" i="3"/>
  <c r="AP91" i="3"/>
  <c r="AQ96" i="3"/>
  <c r="AM102" i="3"/>
  <c r="AR106" i="3"/>
  <c r="AQ111" i="3"/>
  <c r="AO117" i="3"/>
  <c r="AN122" i="3"/>
  <c r="AM127" i="3"/>
  <c r="AR131" i="3"/>
  <c r="AP137" i="3"/>
  <c r="AO142" i="3"/>
  <c r="AN147" i="3"/>
  <c r="AM152" i="3"/>
  <c r="AQ157" i="3"/>
  <c r="AP162" i="3"/>
  <c r="AO167" i="3"/>
  <c r="AN172" i="3"/>
  <c r="AR177" i="3"/>
  <c r="AQ182" i="3"/>
  <c r="AP29" i="3"/>
  <c r="AP34" i="3"/>
  <c r="AP39" i="3"/>
  <c r="AP45" i="3"/>
  <c r="AP50" i="3"/>
  <c r="AP55" i="3"/>
  <c r="AP61" i="3"/>
  <c r="AP66" i="3"/>
  <c r="AP71" i="3"/>
  <c r="AQ76" i="3"/>
  <c r="AM82" i="3"/>
  <c r="AR86" i="3"/>
  <c r="AQ91" i="3"/>
  <c r="AO97" i="3"/>
  <c r="AN102" i="3"/>
  <c r="AM107" i="3"/>
  <c r="AR111" i="3"/>
  <c r="AP117" i="3"/>
  <c r="AO122" i="3"/>
  <c r="AN127" i="3"/>
  <c r="AM132" i="3"/>
  <c r="AQ137" i="3"/>
  <c r="AP142" i="3"/>
  <c r="AO147" i="3"/>
  <c r="AN152" i="3"/>
  <c r="AR157" i="3"/>
  <c r="AQ162" i="3"/>
  <c r="AP167" i="3"/>
  <c r="AQ172" i="3"/>
  <c r="AM178" i="3"/>
  <c r="AR182" i="3"/>
  <c r="AQ187" i="3"/>
  <c r="AO193" i="3"/>
  <c r="AN198" i="3"/>
  <c r="AM4" i="3"/>
  <c r="AR8" i="3"/>
  <c r="AP14" i="3"/>
  <c r="AO19" i="3"/>
  <c r="AN24" i="3"/>
  <c r="AR34" i="3"/>
  <c r="AM138" i="3"/>
  <c r="AN9" i="3"/>
  <c r="AM168" i="3"/>
  <c r="AN35" i="3"/>
  <c r="AN51" i="3"/>
  <c r="AN62" i="3"/>
  <c r="AQ82" i="3"/>
  <c r="AM98" i="3"/>
  <c r="AO113" i="3"/>
  <c r="AR127" i="3"/>
  <c r="AM148" i="3"/>
  <c r="AO163" i="3"/>
  <c r="AQ178" i="3"/>
  <c r="AQ188" i="3"/>
  <c r="AO10" i="3"/>
  <c r="AM20" i="3"/>
  <c r="AQ29" i="3"/>
  <c r="AQ34" i="3"/>
  <c r="AQ39" i="3"/>
  <c r="AQ45" i="3"/>
  <c r="AQ50" i="3"/>
  <c r="AQ55" i="3"/>
  <c r="AQ61" i="3"/>
  <c r="AQ66" i="3"/>
  <c r="AQ71" i="3"/>
  <c r="AO77" i="3"/>
  <c r="AN82" i="3"/>
  <c r="AM87" i="3"/>
  <c r="AR91" i="3"/>
  <c r="AP97" i="3"/>
  <c r="AO102" i="3"/>
  <c r="AN107" i="3"/>
  <c r="AM112" i="3"/>
  <c r="AQ117" i="3"/>
  <c r="AP122" i="3"/>
  <c r="AO127" i="3"/>
  <c r="AN132" i="3"/>
  <c r="AR137" i="3"/>
  <c r="AQ142" i="3"/>
  <c r="AP147" i="3"/>
  <c r="AQ152" i="3"/>
  <c r="AM158" i="3"/>
  <c r="AR162" i="3"/>
  <c r="AQ167" i="3"/>
  <c r="AO173" i="3"/>
  <c r="AN178" i="3"/>
  <c r="AM183" i="3"/>
  <c r="AR187" i="3"/>
  <c r="AP193" i="3"/>
  <c r="AO198" i="3"/>
  <c r="AN4" i="3"/>
  <c r="AM9" i="3"/>
  <c r="AQ14" i="3"/>
  <c r="AP19" i="3"/>
  <c r="AO24" i="3"/>
  <c r="AR29" i="3"/>
  <c r="AR39" i="3"/>
  <c r="AR45" i="3"/>
  <c r="AR50" i="3"/>
  <c r="AR55" i="3"/>
  <c r="AR61" i="3"/>
  <c r="AR66" i="3"/>
  <c r="AR71" i="3"/>
  <c r="AP77" i="3"/>
  <c r="AO82" i="3"/>
  <c r="AN87" i="3"/>
  <c r="AM92" i="3"/>
  <c r="AQ97" i="3"/>
  <c r="AP102" i="3"/>
  <c r="AO107" i="3"/>
  <c r="AN112" i="3"/>
  <c r="AR117" i="3"/>
  <c r="AQ122" i="3"/>
  <c r="AP127" i="3"/>
  <c r="AQ132" i="3"/>
  <c r="AR142" i="3"/>
  <c r="AQ147" i="3"/>
  <c r="AO153" i="3"/>
  <c r="AN158" i="3"/>
  <c r="AM163" i="3"/>
  <c r="AR167" i="3"/>
  <c r="AP173" i="3"/>
  <c r="AO178" i="3"/>
  <c r="AN183" i="3"/>
  <c r="AM188" i="3"/>
  <c r="AQ193" i="3"/>
  <c r="AP198" i="3"/>
  <c r="AO4" i="3"/>
  <c r="AR14" i="3"/>
  <c r="AQ19" i="3"/>
  <c r="AP24" i="3"/>
  <c r="AR122" i="3"/>
  <c r="AM15" i="3"/>
  <c r="AN40" i="3"/>
  <c r="AR77" i="3"/>
  <c r="AQ92" i="3"/>
  <c r="AQ107" i="3"/>
  <c r="AM123" i="3"/>
  <c r="AO138" i="3"/>
  <c r="AQ153" i="3"/>
  <c r="AN168" i="3"/>
  <c r="AM30" i="3"/>
  <c r="AM35" i="3"/>
  <c r="AM40" i="3"/>
  <c r="AM46" i="3"/>
  <c r="AM51" i="3"/>
  <c r="AM56" i="3"/>
  <c r="AM62" i="3"/>
  <c r="AM67" i="3"/>
  <c r="AM72" i="3"/>
  <c r="AQ77" i="3"/>
  <c r="AP82" i="3"/>
  <c r="AO87" i="3"/>
  <c r="AN92" i="3"/>
  <c r="AR97" i="3"/>
  <c r="AQ102" i="3"/>
  <c r="AP107" i="3"/>
  <c r="AQ112" i="3"/>
  <c r="AM118" i="3"/>
  <c r="AQ127" i="3"/>
  <c r="AO133" i="3"/>
  <c r="AN138" i="3"/>
  <c r="AM143" i="3"/>
  <c r="AR147" i="3"/>
  <c r="AP153" i="3"/>
  <c r="AO158" i="3"/>
  <c r="AN163" i="3"/>
  <c r="AQ173" i="3"/>
  <c r="AP178" i="3"/>
  <c r="AO183" i="3"/>
  <c r="AN188" i="3"/>
  <c r="AR193" i="3"/>
  <c r="AQ198" i="3"/>
  <c r="AP4" i="3"/>
  <c r="AQ9" i="3"/>
  <c r="AR19" i="3"/>
  <c r="AQ24" i="3"/>
  <c r="AN30" i="3"/>
  <c r="AN46" i="3"/>
  <c r="AN56" i="3"/>
  <c r="AN67" i="3"/>
  <c r="AN72" i="3"/>
  <c r="AP87" i="3"/>
  <c r="AR102" i="3"/>
  <c r="AN118" i="3"/>
  <c r="AP133" i="3"/>
  <c r="AN143" i="3"/>
  <c r="AP158" i="3"/>
  <c r="AR173" i="3"/>
  <c r="AP183" i="3"/>
  <c r="AM194" i="3"/>
  <c r="AQ4" i="3"/>
  <c r="AN15" i="3"/>
  <c r="AP30" i="3"/>
  <c r="AP35" i="3"/>
  <c r="AP41" i="3"/>
  <c r="AP46" i="3"/>
  <c r="AP51" i="3"/>
  <c r="AP57" i="3"/>
  <c r="AP62" i="3"/>
  <c r="AP67" i="3"/>
  <c r="AO73" i="3"/>
  <c r="AN78" i="3"/>
  <c r="AM83" i="3"/>
  <c r="AR87" i="3"/>
  <c r="AP93" i="3"/>
  <c r="AO98" i="3"/>
  <c r="AN103" i="3"/>
  <c r="AM108" i="3"/>
  <c r="AQ113" i="3"/>
  <c r="AP118" i="3"/>
  <c r="AO123" i="3"/>
  <c r="AN128" i="3"/>
  <c r="AR133" i="3"/>
  <c r="AQ138" i="3"/>
  <c r="AP143" i="3"/>
  <c r="AQ148" i="3"/>
  <c r="AM154" i="3"/>
  <c r="AR158" i="3"/>
  <c r="AQ163" i="3"/>
  <c r="AO169" i="3"/>
  <c r="AN174" i="3"/>
  <c r="AM179" i="3"/>
  <c r="AR183" i="3"/>
  <c r="AP189" i="3"/>
  <c r="AO194" i="3"/>
  <c r="AN199" i="3"/>
  <c r="AM5" i="3"/>
  <c r="AQ10" i="3"/>
  <c r="AP15" i="3"/>
  <c r="AO20" i="3"/>
  <c r="AN25" i="3"/>
  <c r="AQ30" i="3"/>
  <c r="AQ35" i="3"/>
  <c r="AQ41" i="3"/>
  <c r="AQ46" i="3"/>
  <c r="AQ51" i="3"/>
  <c r="AQ57" i="3"/>
  <c r="AQ62" i="3"/>
  <c r="AQ67" i="3"/>
  <c r="AP73" i="3"/>
  <c r="AO78" i="3"/>
  <c r="AN83" i="3"/>
  <c r="AM88" i="3"/>
  <c r="AQ93" i="3"/>
  <c r="AP98" i="3"/>
  <c r="AO103" i="3"/>
  <c r="AN108" i="3"/>
  <c r="AR113" i="3"/>
  <c r="AQ118" i="3"/>
  <c r="AP123" i="3"/>
  <c r="AQ128" i="3"/>
  <c r="AM134" i="3"/>
  <c r="AR138" i="3"/>
  <c r="AQ143" i="3"/>
  <c r="AO31" i="3"/>
  <c r="AQ36" i="3"/>
  <c r="AO42" i="3"/>
  <c r="AO47" i="3"/>
  <c r="AQ52" i="3"/>
  <c r="AO58" i="3"/>
  <c r="AO63" i="3"/>
  <c r="AQ68" i="3"/>
  <c r="AN74" i="3"/>
  <c r="AM79" i="3"/>
  <c r="AR83" i="3"/>
  <c r="AP89" i="3"/>
  <c r="AO94" i="3"/>
  <c r="AN99" i="3"/>
  <c r="AM104" i="3"/>
  <c r="AQ109" i="3"/>
  <c r="AP114" i="3"/>
  <c r="AO119" i="3"/>
  <c r="AN124" i="3"/>
  <c r="AR129" i="3"/>
  <c r="AQ134" i="3"/>
  <c r="AP139" i="3"/>
  <c r="AQ144" i="3"/>
  <c r="AM150" i="3"/>
  <c r="AR154" i="3"/>
  <c r="AQ159" i="3"/>
  <c r="AO165" i="3"/>
  <c r="AN170" i="3"/>
  <c r="AM175" i="3"/>
  <c r="AR179" i="3"/>
  <c r="AP185" i="3"/>
  <c r="AO190" i="3"/>
  <c r="AN195" i="3"/>
  <c r="AM200" i="3"/>
  <c r="AQ6" i="3"/>
  <c r="AP11" i="3"/>
  <c r="AO16" i="3"/>
  <c r="AN21" i="3"/>
  <c r="AR26" i="3"/>
  <c r="AP31" i="3"/>
  <c r="AP37" i="3"/>
  <c r="AP42" i="3"/>
  <c r="AP47" i="3"/>
  <c r="AP53" i="3"/>
  <c r="AP58" i="3"/>
  <c r="AP63" i="3"/>
  <c r="AP69" i="3"/>
  <c r="AO74" i="3"/>
  <c r="AN79" i="3"/>
  <c r="AM84" i="3"/>
  <c r="AQ89" i="3"/>
  <c r="AP94" i="3"/>
  <c r="AO99" i="3"/>
  <c r="AN104" i="3"/>
  <c r="AR109" i="3"/>
  <c r="AQ114" i="3"/>
  <c r="AP119" i="3"/>
  <c r="AQ124" i="3"/>
  <c r="AM130" i="3"/>
  <c r="AR134" i="3"/>
  <c r="AQ139" i="3"/>
  <c r="AO145" i="3"/>
  <c r="AN150" i="3"/>
  <c r="AM155" i="3"/>
  <c r="AR159" i="3"/>
  <c r="AP165" i="3"/>
  <c r="AO170" i="3"/>
  <c r="AN175" i="3"/>
  <c r="AM180" i="3"/>
  <c r="AQ185" i="3"/>
  <c r="AP190" i="3"/>
  <c r="AO195" i="3"/>
  <c r="AN200" i="3"/>
  <c r="AR6" i="3"/>
  <c r="AQ11" i="3"/>
  <c r="AP16" i="3"/>
  <c r="AQ21" i="3"/>
  <c r="AM27" i="3"/>
  <c r="AQ31" i="3"/>
  <c r="AQ37" i="3"/>
  <c r="AQ42" i="3"/>
  <c r="AQ47" i="3"/>
  <c r="AQ53" i="3"/>
  <c r="AQ58" i="3"/>
  <c r="AQ63" i="3"/>
  <c r="AQ69" i="3"/>
  <c r="AP74" i="3"/>
  <c r="AO79" i="3"/>
  <c r="AN84" i="3"/>
  <c r="AR89" i="3"/>
  <c r="AQ94" i="3"/>
  <c r="AP99" i="3"/>
  <c r="AQ104" i="3"/>
  <c r="AM110" i="3"/>
  <c r="AR114" i="3"/>
  <c r="AQ119" i="3"/>
  <c r="AO125" i="3"/>
  <c r="AN130" i="3"/>
  <c r="AM135" i="3"/>
  <c r="AR139" i="3"/>
  <c r="AP145" i="3"/>
  <c r="AO150" i="3"/>
  <c r="AN155" i="3"/>
  <c r="AM160" i="3"/>
  <c r="AQ165" i="3"/>
  <c r="AP170" i="3"/>
  <c r="AO175" i="3"/>
  <c r="AN180" i="3"/>
  <c r="AR185" i="3"/>
  <c r="AQ190" i="3"/>
  <c r="AP195" i="3"/>
  <c r="AQ200" i="3"/>
  <c r="AM7" i="3"/>
  <c r="AR11" i="3"/>
  <c r="AQ16" i="3"/>
  <c r="AO22" i="3"/>
  <c r="AN27" i="3"/>
  <c r="AP33" i="3"/>
  <c r="AO27" i="3"/>
  <c r="AP18" i="3"/>
  <c r="AP10" i="3"/>
  <c r="AP191" i="3"/>
  <c r="AO182" i="3"/>
  <c r="AO174" i="3"/>
  <c r="AO155" i="3"/>
  <c r="AM146" i="3"/>
  <c r="AR125" i="3"/>
  <c r="AO115" i="3"/>
  <c r="AN95" i="3"/>
  <c r="AM75" i="3"/>
  <c r="AN54" i="3"/>
  <c r="AM32" i="3"/>
  <c r="AQ26" i="3"/>
  <c r="AQ199" i="3"/>
  <c r="AM174" i="3"/>
  <c r="AO135" i="3"/>
  <c r="AO26" i="3"/>
  <c r="AN17" i="3"/>
  <c r="AN8" i="3"/>
  <c r="AO199" i="3"/>
  <c r="AM191" i="3"/>
  <c r="AR181" i="3"/>
  <c r="AQ171" i="3"/>
  <c r="AP163" i="3"/>
  <c r="AO154" i="3"/>
  <c r="AN144" i="3"/>
  <c r="AP134" i="3"/>
  <c r="AM124" i="3"/>
  <c r="AO114" i="3"/>
  <c r="AR103" i="3"/>
  <c r="AN94" i="3"/>
  <c r="AQ83" i="3"/>
  <c r="AM74" i="3"/>
  <c r="AN63" i="3"/>
  <c r="AN52" i="3"/>
  <c r="AN42" i="3"/>
  <c r="AM31" i="3"/>
  <c r="AQ25" i="3"/>
  <c r="AM17" i="3"/>
  <c r="AM8" i="3"/>
  <c r="AM199" i="3"/>
  <c r="AR190" i="3"/>
  <c r="AQ181" i="3"/>
  <c r="AP171" i="3"/>
  <c r="AN162" i="3"/>
  <c r="AN154" i="3"/>
  <c r="AM144" i="3"/>
  <c r="AO134" i="3"/>
  <c r="AR123" i="3"/>
  <c r="AN114" i="3"/>
  <c r="AQ103" i="3"/>
  <c r="AM94" i="3"/>
  <c r="AP83" i="3"/>
  <c r="AR73" i="3"/>
  <c r="AM63" i="3"/>
  <c r="AM52" i="3"/>
  <c r="AM42" i="3"/>
  <c r="AR30" i="3"/>
  <c r="AM25" i="3"/>
  <c r="AR16" i="3"/>
  <c r="AR198" i="3"/>
  <c r="AN190" i="3"/>
  <c r="AP181" i="3"/>
  <c r="AO171" i="3"/>
  <c r="AM162" i="3"/>
  <c r="AR153" i="3"/>
  <c r="AR143" i="3"/>
  <c r="AN134" i="3"/>
  <c r="AQ123" i="3"/>
  <c r="AM114" i="3"/>
  <c r="AP103" i="3"/>
  <c r="AR93" i="3"/>
  <c r="AO83" i="3"/>
  <c r="AQ73" i="3"/>
  <c r="AR62" i="3"/>
  <c r="AR51" i="3"/>
  <c r="AR41" i="3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  <c r="K199" i="1"/>
  <c r="K198" i="1"/>
  <c r="K197" i="1"/>
  <c r="K196" i="1"/>
  <c r="K195" i="1"/>
  <c r="K194" i="1"/>
  <c r="K193" i="1"/>
  <c r="K175" i="1"/>
  <c r="K174" i="1"/>
  <c r="K147" i="1"/>
  <c r="K74" i="1"/>
  <c r="K29" i="1"/>
  <c r="K28" i="1"/>
  <c r="I190" i="1"/>
  <c r="J190" i="1" s="1"/>
  <c r="I72" i="1"/>
  <c r="J72" i="1" s="1"/>
  <c r="I71" i="1"/>
  <c r="J71" i="1" s="1"/>
  <c r="I70" i="1"/>
  <c r="J70" i="1" s="1"/>
  <c r="I46" i="1"/>
  <c r="J46" i="1" s="1"/>
  <c r="I45" i="1"/>
  <c r="J45" i="1" s="1"/>
  <c r="I44" i="1"/>
  <c r="J44" i="1" s="1"/>
  <c r="I22" i="1"/>
  <c r="J22" i="1" s="1"/>
  <c r="I21" i="1"/>
  <c r="J21" i="1" s="1"/>
  <c r="H201" i="1"/>
  <c r="I201" i="1" s="1"/>
  <c r="J201" i="1" s="1"/>
  <c r="H200" i="1"/>
  <c r="H199" i="1"/>
  <c r="I199" i="1" s="1"/>
  <c r="J199" i="1" s="1"/>
  <c r="H198" i="1"/>
  <c r="I198" i="1" s="1"/>
  <c r="J198" i="1" s="1"/>
  <c r="H197" i="1"/>
  <c r="I197" i="1" s="1"/>
  <c r="J197" i="1" s="1"/>
  <c r="H196" i="1"/>
  <c r="I196" i="1" s="1"/>
  <c r="J196" i="1" s="1"/>
  <c r="H195" i="1"/>
  <c r="I195" i="1" s="1"/>
  <c r="J195" i="1" s="1"/>
  <c r="H194" i="1"/>
  <c r="I194" i="1" s="1"/>
  <c r="J194" i="1" s="1"/>
  <c r="H193" i="1"/>
  <c r="I193" i="1" s="1"/>
  <c r="J193" i="1" s="1"/>
  <c r="H192" i="1"/>
  <c r="K192" i="1" s="1"/>
  <c r="H191" i="1"/>
  <c r="K191" i="1" s="1"/>
  <c r="H190" i="1"/>
  <c r="K190" i="1" s="1"/>
  <c r="H189" i="1"/>
  <c r="K189" i="1" s="1"/>
  <c r="H188" i="1"/>
  <c r="K188" i="1" s="1"/>
  <c r="H187" i="1"/>
  <c r="K187" i="1" s="1"/>
  <c r="H186" i="1"/>
  <c r="K186" i="1" s="1"/>
  <c r="H185" i="1"/>
  <c r="K185" i="1" s="1"/>
  <c r="H184" i="1"/>
  <c r="I184" i="1" s="1"/>
  <c r="J184" i="1" s="1"/>
  <c r="H183" i="1"/>
  <c r="K183" i="1" s="1"/>
  <c r="H182" i="1"/>
  <c r="I182" i="1" s="1"/>
  <c r="J182" i="1" s="1"/>
  <c r="H181" i="1"/>
  <c r="I181" i="1" s="1"/>
  <c r="J181" i="1" s="1"/>
  <c r="H180" i="1"/>
  <c r="I180" i="1" s="1"/>
  <c r="J180" i="1" s="1"/>
  <c r="H179" i="1"/>
  <c r="I179" i="1" s="1"/>
  <c r="J179" i="1" s="1"/>
  <c r="H178" i="1"/>
  <c r="K178" i="1" s="1"/>
  <c r="H177" i="1"/>
  <c r="K177" i="1" s="1"/>
  <c r="H176" i="1"/>
  <c r="H175" i="1"/>
  <c r="I175" i="1" s="1"/>
  <c r="J175" i="1" s="1"/>
  <c r="H174" i="1"/>
  <c r="I174" i="1" s="1"/>
  <c r="J174" i="1" s="1"/>
  <c r="H173" i="1"/>
  <c r="I173" i="1" s="1"/>
  <c r="J173" i="1" s="1"/>
  <c r="H172" i="1"/>
  <c r="I172" i="1" s="1"/>
  <c r="J172" i="1" s="1"/>
  <c r="H171" i="1"/>
  <c r="I171" i="1" s="1"/>
  <c r="J171" i="1" s="1"/>
  <c r="H170" i="1"/>
  <c r="I170" i="1" s="1"/>
  <c r="J170" i="1" s="1"/>
  <c r="H169" i="1"/>
  <c r="I169" i="1" s="1"/>
  <c r="J169" i="1" s="1"/>
  <c r="H168" i="1"/>
  <c r="K168" i="1" s="1"/>
  <c r="H167" i="1"/>
  <c r="K167" i="1" s="1"/>
  <c r="H166" i="1"/>
  <c r="K166" i="1" s="1"/>
  <c r="H165" i="1"/>
  <c r="K165" i="1" s="1"/>
  <c r="H164" i="1"/>
  <c r="K164" i="1" s="1"/>
  <c r="H163" i="1"/>
  <c r="K163" i="1" s="1"/>
  <c r="H162" i="1"/>
  <c r="K162" i="1" s="1"/>
  <c r="H161" i="1"/>
  <c r="K161" i="1" s="1"/>
  <c r="H160" i="1"/>
  <c r="I160" i="1" s="1"/>
  <c r="J160" i="1" s="1"/>
  <c r="H159" i="1"/>
  <c r="K159" i="1" s="1"/>
  <c r="H158" i="1"/>
  <c r="I158" i="1" s="1"/>
  <c r="J158" i="1" s="1"/>
  <c r="H157" i="1"/>
  <c r="I157" i="1" s="1"/>
  <c r="J157" i="1" s="1"/>
  <c r="H156" i="1"/>
  <c r="I156" i="1" s="1"/>
  <c r="J156" i="1" s="1"/>
  <c r="H155" i="1"/>
  <c r="I155" i="1" s="1"/>
  <c r="J155" i="1" s="1"/>
  <c r="H154" i="1"/>
  <c r="K154" i="1" s="1"/>
  <c r="H153" i="1"/>
  <c r="I153" i="1" s="1"/>
  <c r="J153" i="1" s="1"/>
  <c r="H152" i="1"/>
  <c r="H151" i="1"/>
  <c r="I151" i="1" s="1"/>
  <c r="J151" i="1" s="1"/>
  <c r="H150" i="1"/>
  <c r="I150" i="1" s="1"/>
  <c r="J150" i="1" s="1"/>
  <c r="H149" i="1"/>
  <c r="I149" i="1" s="1"/>
  <c r="J149" i="1" s="1"/>
  <c r="H148" i="1"/>
  <c r="I148" i="1" s="1"/>
  <c r="J148" i="1" s="1"/>
  <c r="H147" i="1"/>
  <c r="I147" i="1" s="1"/>
  <c r="J147" i="1" s="1"/>
  <c r="H146" i="1"/>
  <c r="I146" i="1" s="1"/>
  <c r="J146" i="1" s="1"/>
  <c r="H145" i="1"/>
  <c r="I145" i="1" s="1"/>
  <c r="J145" i="1" s="1"/>
  <c r="H144" i="1"/>
  <c r="K144" i="1" s="1"/>
  <c r="H143" i="1"/>
  <c r="K143" i="1" s="1"/>
  <c r="H142" i="1"/>
  <c r="K142" i="1" s="1"/>
  <c r="H141" i="1"/>
  <c r="K141" i="1" s="1"/>
  <c r="H140" i="1"/>
  <c r="K140" i="1" s="1"/>
  <c r="H139" i="1"/>
  <c r="K139" i="1" s="1"/>
  <c r="H138" i="1"/>
  <c r="K138" i="1" s="1"/>
  <c r="H137" i="1"/>
  <c r="K137" i="1" s="1"/>
  <c r="H136" i="1"/>
  <c r="I136" i="1" s="1"/>
  <c r="J136" i="1" s="1"/>
  <c r="H135" i="1"/>
  <c r="K135" i="1" s="1"/>
  <c r="H134" i="1"/>
  <c r="I134" i="1" s="1"/>
  <c r="J134" i="1" s="1"/>
  <c r="H133" i="1"/>
  <c r="I133" i="1" s="1"/>
  <c r="J133" i="1" s="1"/>
  <c r="H132" i="1"/>
  <c r="I132" i="1" s="1"/>
  <c r="J132" i="1" s="1"/>
  <c r="H131" i="1"/>
  <c r="I131" i="1" s="1"/>
  <c r="J131" i="1" s="1"/>
  <c r="H130" i="1"/>
  <c r="K130" i="1" s="1"/>
  <c r="H129" i="1"/>
  <c r="I129" i="1" s="1"/>
  <c r="J129" i="1" s="1"/>
  <c r="H128" i="1"/>
  <c r="H127" i="1"/>
  <c r="I127" i="1" s="1"/>
  <c r="J127" i="1" s="1"/>
  <c r="H126" i="1"/>
  <c r="I126" i="1" s="1"/>
  <c r="J126" i="1" s="1"/>
  <c r="H125" i="1"/>
  <c r="I125" i="1" s="1"/>
  <c r="J125" i="1" s="1"/>
  <c r="H124" i="1"/>
  <c r="I124" i="1" s="1"/>
  <c r="J124" i="1" s="1"/>
  <c r="H123" i="1"/>
  <c r="I123" i="1" s="1"/>
  <c r="J123" i="1" s="1"/>
  <c r="H122" i="1"/>
  <c r="I122" i="1" s="1"/>
  <c r="J122" i="1" s="1"/>
  <c r="H121" i="1"/>
  <c r="I121" i="1" s="1"/>
  <c r="J121" i="1" s="1"/>
  <c r="H120" i="1"/>
  <c r="K120" i="1" s="1"/>
  <c r="H119" i="1"/>
  <c r="K119" i="1" s="1"/>
  <c r="H118" i="1"/>
  <c r="K118" i="1" s="1"/>
  <c r="H117" i="1"/>
  <c r="K117" i="1" s="1"/>
  <c r="H116" i="1"/>
  <c r="K116" i="1" s="1"/>
  <c r="H115" i="1"/>
  <c r="K115" i="1" s="1"/>
  <c r="H114" i="1"/>
  <c r="K114" i="1" s="1"/>
  <c r="H113" i="1"/>
  <c r="K113" i="1" s="1"/>
  <c r="H112" i="1"/>
  <c r="I112" i="1" s="1"/>
  <c r="J112" i="1" s="1"/>
  <c r="H111" i="1"/>
  <c r="K111" i="1" s="1"/>
  <c r="H110" i="1"/>
  <c r="I110" i="1" s="1"/>
  <c r="J110" i="1" s="1"/>
  <c r="H109" i="1"/>
  <c r="I109" i="1" s="1"/>
  <c r="J109" i="1" s="1"/>
  <c r="H108" i="1"/>
  <c r="I108" i="1" s="1"/>
  <c r="J108" i="1" s="1"/>
  <c r="H107" i="1"/>
  <c r="I107" i="1" s="1"/>
  <c r="J107" i="1" s="1"/>
  <c r="H106" i="1"/>
  <c r="I106" i="1" s="1"/>
  <c r="J106" i="1" s="1"/>
  <c r="H105" i="1"/>
  <c r="K105" i="1" s="1"/>
  <c r="H104" i="1"/>
  <c r="H103" i="1"/>
  <c r="I103" i="1" s="1"/>
  <c r="J103" i="1" s="1"/>
  <c r="H102" i="1"/>
  <c r="I102" i="1" s="1"/>
  <c r="J102" i="1" s="1"/>
  <c r="H101" i="1"/>
  <c r="I101" i="1" s="1"/>
  <c r="J101" i="1" s="1"/>
  <c r="H100" i="1"/>
  <c r="I100" i="1" s="1"/>
  <c r="J100" i="1" s="1"/>
  <c r="H99" i="1"/>
  <c r="I99" i="1" s="1"/>
  <c r="J99" i="1" s="1"/>
  <c r="H98" i="1"/>
  <c r="I98" i="1" s="1"/>
  <c r="J98" i="1" s="1"/>
  <c r="H97" i="1"/>
  <c r="I97" i="1" s="1"/>
  <c r="J97" i="1" s="1"/>
  <c r="H96" i="1"/>
  <c r="K96" i="1" s="1"/>
  <c r="H95" i="1"/>
  <c r="K95" i="1" s="1"/>
  <c r="H94" i="1"/>
  <c r="K94" i="1" s="1"/>
  <c r="H93" i="1"/>
  <c r="K93" i="1" s="1"/>
  <c r="H92" i="1"/>
  <c r="K92" i="1" s="1"/>
  <c r="H91" i="1"/>
  <c r="K91" i="1" s="1"/>
  <c r="H90" i="1"/>
  <c r="K90" i="1" s="1"/>
  <c r="H89" i="1"/>
  <c r="K89" i="1" s="1"/>
  <c r="H88" i="1"/>
  <c r="I88" i="1" s="1"/>
  <c r="J88" i="1" s="1"/>
  <c r="H87" i="1"/>
  <c r="K87" i="1" s="1"/>
  <c r="H86" i="1"/>
  <c r="I86" i="1" s="1"/>
  <c r="J86" i="1" s="1"/>
  <c r="H85" i="1"/>
  <c r="I85" i="1" s="1"/>
  <c r="J85" i="1" s="1"/>
  <c r="H84" i="1"/>
  <c r="I84" i="1" s="1"/>
  <c r="J84" i="1" s="1"/>
  <c r="H83" i="1"/>
  <c r="I83" i="1" s="1"/>
  <c r="J83" i="1" s="1"/>
  <c r="H82" i="1"/>
  <c r="K82" i="1" s="1"/>
  <c r="H81" i="1"/>
  <c r="K81" i="1" s="1"/>
  <c r="H80" i="1"/>
  <c r="H79" i="1"/>
  <c r="I79" i="1" s="1"/>
  <c r="J79" i="1" s="1"/>
  <c r="H78" i="1"/>
  <c r="I78" i="1" s="1"/>
  <c r="J78" i="1" s="1"/>
  <c r="H77" i="1"/>
  <c r="I77" i="1" s="1"/>
  <c r="J77" i="1" s="1"/>
  <c r="H76" i="1"/>
  <c r="I76" i="1" s="1"/>
  <c r="J76" i="1" s="1"/>
  <c r="H75" i="1"/>
  <c r="I75" i="1" s="1"/>
  <c r="J75" i="1" s="1"/>
  <c r="H74" i="1"/>
  <c r="I74" i="1" s="1"/>
  <c r="J74" i="1" s="1"/>
  <c r="H73" i="1"/>
  <c r="I73" i="1" s="1"/>
  <c r="J73" i="1" s="1"/>
  <c r="H72" i="1"/>
  <c r="K72" i="1" s="1"/>
  <c r="H71" i="1"/>
  <c r="K71" i="1" s="1"/>
  <c r="H70" i="1"/>
  <c r="K70" i="1" s="1"/>
  <c r="H69" i="1"/>
  <c r="K69" i="1" s="1"/>
  <c r="H68" i="1"/>
  <c r="K68" i="1" s="1"/>
  <c r="H67" i="1"/>
  <c r="K67" i="1" s="1"/>
  <c r="H66" i="1"/>
  <c r="K66" i="1" s="1"/>
  <c r="H65" i="1"/>
  <c r="K65" i="1" s="1"/>
  <c r="H64" i="1"/>
  <c r="I64" i="1" s="1"/>
  <c r="J64" i="1" s="1"/>
  <c r="H63" i="1"/>
  <c r="K63" i="1" s="1"/>
  <c r="H62" i="1"/>
  <c r="I62" i="1" s="1"/>
  <c r="J62" i="1" s="1"/>
  <c r="H61" i="1"/>
  <c r="I61" i="1" s="1"/>
  <c r="J61" i="1" s="1"/>
  <c r="H60" i="1"/>
  <c r="I60" i="1" s="1"/>
  <c r="J60" i="1" s="1"/>
  <c r="H59" i="1"/>
  <c r="I59" i="1" s="1"/>
  <c r="J59" i="1" s="1"/>
  <c r="H58" i="1"/>
  <c r="K58" i="1" s="1"/>
  <c r="H57" i="1"/>
  <c r="I57" i="1" s="1"/>
  <c r="J57" i="1" s="1"/>
  <c r="H56" i="1"/>
  <c r="H55" i="1"/>
  <c r="I55" i="1" s="1"/>
  <c r="J55" i="1" s="1"/>
  <c r="H54" i="1"/>
  <c r="I54" i="1" s="1"/>
  <c r="J54" i="1" s="1"/>
  <c r="H53" i="1"/>
  <c r="I53" i="1" s="1"/>
  <c r="J53" i="1" s="1"/>
  <c r="H52" i="1"/>
  <c r="I52" i="1" s="1"/>
  <c r="J52" i="1" s="1"/>
  <c r="H51" i="1"/>
  <c r="I51" i="1" s="1"/>
  <c r="J51" i="1" s="1"/>
  <c r="H50" i="1"/>
  <c r="I50" i="1" s="1"/>
  <c r="J50" i="1" s="1"/>
  <c r="H49" i="1"/>
  <c r="I49" i="1" s="1"/>
  <c r="J49" i="1" s="1"/>
  <c r="H48" i="1"/>
  <c r="K48" i="1" s="1"/>
  <c r="H47" i="1"/>
  <c r="K47" i="1" s="1"/>
  <c r="H46" i="1"/>
  <c r="K46" i="1" s="1"/>
  <c r="H45" i="1"/>
  <c r="K45" i="1" s="1"/>
  <c r="H44" i="1"/>
  <c r="K44" i="1" s="1"/>
  <c r="H43" i="1"/>
  <c r="K43" i="1" s="1"/>
  <c r="H42" i="1"/>
  <c r="K42" i="1" s="1"/>
  <c r="H41" i="1"/>
  <c r="K41" i="1" s="1"/>
  <c r="H40" i="1"/>
  <c r="I40" i="1" s="1"/>
  <c r="J40" i="1" s="1"/>
  <c r="H39" i="1"/>
  <c r="K39" i="1" s="1"/>
  <c r="H38" i="1"/>
  <c r="I38" i="1" s="1"/>
  <c r="J38" i="1" s="1"/>
  <c r="H37" i="1"/>
  <c r="I37" i="1" s="1"/>
  <c r="J37" i="1" s="1"/>
  <c r="H36" i="1"/>
  <c r="I36" i="1" s="1"/>
  <c r="J36" i="1" s="1"/>
  <c r="H35" i="1"/>
  <c r="I35" i="1" s="1"/>
  <c r="J35" i="1" s="1"/>
  <c r="H34" i="1"/>
  <c r="K34" i="1" s="1"/>
  <c r="H33" i="1"/>
  <c r="K33" i="1" s="1"/>
  <c r="H32" i="1"/>
  <c r="H31" i="1"/>
  <c r="I31" i="1" s="1"/>
  <c r="J31" i="1" s="1"/>
  <c r="H30" i="1"/>
  <c r="I30" i="1" s="1"/>
  <c r="J30" i="1" s="1"/>
  <c r="H29" i="1"/>
  <c r="I29" i="1" s="1"/>
  <c r="J29" i="1" s="1"/>
  <c r="H28" i="1"/>
  <c r="I28" i="1" s="1"/>
  <c r="J28" i="1" s="1"/>
  <c r="H27" i="1"/>
  <c r="I27" i="1" s="1"/>
  <c r="J27" i="1" s="1"/>
  <c r="H26" i="1"/>
  <c r="I26" i="1" s="1"/>
  <c r="J26" i="1" s="1"/>
  <c r="H25" i="1"/>
  <c r="I25" i="1" s="1"/>
  <c r="J25" i="1" s="1"/>
  <c r="H24" i="1"/>
  <c r="K24" i="1" s="1"/>
  <c r="H23" i="1"/>
  <c r="K23" i="1" s="1"/>
  <c r="H22" i="1"/>
  <c r="K22" i="1" s="1"/>
  <c r="H21" i="1"/>
  <c r="K21" i="1" s="1"/>
  <c r="H20" i="1"/>
  <c r="K20" i="1" s="1"/>
  <c r="H19" i="1"/>
  <c r="K19" i="1" s="1"/>
  <c r="H18" i="1"/>
  <c r="K18" i="1" s="1"/>
  <c r="H17" i="1"/>
  <c r="K17" i="1" s="1"/>
  <c r="H16" i="1"/>
  <c r="I16" i="1" s="1"/>
  <c r="J16" i="1" s="1"/>
  <c r="H15" i="1"/>
  <c r="K15" i="1" s="1"/>
  <c r="H14" i="1"/>
  <c r="I14" i="1" s="1"/>
  <c r="J14" i="1" s="1"/>
  <c r="H13" i="1"/>
  <c r="I13" i="1" s="1"/>
  <c r="J13" i="1" s="1"/>
  <c r="H12" i="1"/>
  <c r="I12" i="1" s="1"/>
  <c r="J12" i="1" s="1"/>
  <c r="H11" i="1"/>
  <c r="I11" i="1" s="1"/>
  <c r="J11" i="1" s="1"/>
  <c r="H10" i="1"/>
  <c r="I10" i="1" s="1"/>
  <c r="J10" i="1" s="1"/>
  <c r="H9" i="1"/>
  <c r="K9" i="1" s="1"/>
  <c r="H8" i="1"/>
  <c r="I8" i="1" s="1"/>
  <c r="J8" i="1" s="1"/>
  <c r="H7" i="1"/>
  <c r="I7" i="1" s="1"/>
  <c r="J7" i="1" s="1"/>
  <c r="H6" i="1"/>
  <c r="I6" i="1" s="1"/>
  <c r="J6" i="1" s="1"/>
  <c r="H5" i="1"/>
  <c r="I5" i="1" s="1"/>
  <c r="J5" i="1" s="1"/>
  <c r="H4" i="1"/>
  <c r="I4" i="1" s="1"/>
  <c r="J4" i="1" s="1"/>
  <c r="H3" i="1"/>
  <c r="I3" i="1" s="1"/>
  <c r="J3" i="1" s="1"/>
  <c r="H2" i="1"/>
  <c r="I2" i="1" s="1"/>
  <c r="J2" i="1" s="1"/>
  <c r="D6" i="1"/>
  <c r="D7" i="1"/>
  <c r="D8" i="1"/>
  <c r="D9" i="1"/>
  <c r="D10" i="1"/>
  <c r="D11" i="1"/>
  <c r="D2" i="1"/>
  <c r="D12" i="1"/>
  <c r="D3" i="1"/>
  <c r="D13" i="1"/>
  <c r="D4" i="1"/>
  <c r="D5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40" i="1"/>
  <c r="D41" i="1"/>
  <c r="D42" i="1"/>
  <c r="D37" i="1"/>
  <c r="D43" i="1"/>
  <c r="D38" i="1"/>
  <c r="D34" i="1"/>
  <c r="D44" i="1"/>
  <c r="D39" i="1"/>
  <c r="D35" i="1"/>
  <c r="D36" i="1"/>
  <c r="D45" i="1"/>
  <c r="D88" i="1"/>
  <c r="D75" i="1"/>
  <c r="D117" i="1"/>
  <c r="D76" i="1"/>
  <c r="D55" i="1"/>
  <c r="D93" i="1"/>
  <c r="D89" i="1"/>
  <c r="D77" i="1"/>
  <c r="D118" i="1"/>
  <c r="D78" i="1"/>
  <c r="D56" i="1"/>
  <c r="D94" i="1"/>
  <c r="D109" i="1"/>
  <c r="D90" i="1"/>
  <c r="D96" i="1"/>
  <c r="D79" i="1"/>
  <c r="D119" i="1"/>
  <c r="D80" i="1"/>
  <c r="D57" i="1"/>
  <c r="D110" i="1"/>
  <c r="D63" i="1"/>
  <c r="D91" i="1"/>
  <c r="D97" i="1"/>
  <c r="D81" i="1"/>
  <c r="D120" i="1"/>
  <c r="D82" i="1"/>
  <c r="D58" i="1"/>
  <c r="D111" i="1"/>
  <c r="D64" i="1"/>
  <c r="D92" i="1"/>
  <c r="D98" i="1"/>
  <c r="D83" i="1"/>
  <c r="D121" i="1"/>
  <c r="D84" i="1"/>
  <c r="D59" i="1"/>
  <c r="D112" i="1"/>
  <c r="D65" i="1"/>
  <c r="D99" i="1"/>
  <c r="D46" i="1"/>
  <c r="D100" i="1"/>
  <c r="D85" i="1"/>
  <c r="D122" i="1"/>
  <c r="D86" i="1"/>
  <c r="D60" i="1"/>
  <c r="D113" i="1"/>
  <c r="D66" i="1"/>
  <c r="D51" i="1"/>
  <c r="D101" i="1"/>
  <c r="D47" i="1"/>
  <c r="D102" i="1"/>
  <c r="D87" i="1"/>
  <c r="D123" i="1"/>
  <c r="D61" i="1"/>
  <c r="D114" i="1"/>
  <c r="D67" i="1"/>
  <c r="D52" i="1"/>
  <c r="D103" i="1"/>
  <c r="D48" i="1"/>
  <c r="D72" i="1"/>
  <c r="D104" i="1"/>
  <c r="D124" i="1"/>
  <c r="D62" i="1"/>
  <c r="D115" i="1"/>
  <c r="D68" i="1"/>
  <c r="D53" i="1"/>
  <c r="D105" i="1"/>
  <c r="D70" i="1"/>
  <c r="D49" i="1"/>
  <c r="D73" i="1"/>
  <c r="D106" i="1"/>
  <c r="D116" i="1"/>
  <c r="D69" i="1"/>
  <c r="D54" i="1"/>
  <c r="D107" i="1"/>
  <c r="D71" i="1"/>
  <c r="D50" i="1"/>
  <c r="D74" i="1"/>
  <c r="D108" i="1"/>
  <c r="D95" i="1"/>
  <c r="D169" i="1"/>
  <c r="D128" i="1"/>
  <c r="D161" i="1"/>
  <c r="D170" i="1"/>
  <c r="D125" i="1"/>
  <c r="D176" i="1"/>
  <c r="D181" i="1"/>
  <c r="D196" i="1"/>
  <c r="D182" i="1"/>
  <c r="D129" i="1"/>
  <c r="D162" i="1"/>
  <c r="D171" i="1"/>
  <c r="D126" i="1"/>
  <c r="D177" i="1"/>
  <c r="D183" i="1"/>
  <c r="D197" i="1"/>
  <c r="D184" i="1"/>
  <c r="D130" i="1"/>
  <c r="D163" i="1"/>
  <c r="D172" i="1"/>
  <c r="D127" i="1"/>
  <c r="D178" i="1"/>
  <c r="D185" i="1"/>
  <c r="D198" i="1"/>
  <c r="D132" i="1"/>
  <c r="D140" i="1"/>
  <c r="D186" i="1"/>
  <c r="D131" i="1"/>
  <c r="D141" i="1"/>
  <c r="D164" i="1"/>
  <c r="D173" i="1"/>
  <c r="D179" i="1"/>
  <c r="D187" i="1"/>
  <c r="D133" i="1"/>
  <c r="D142" i="1"/>
  <c r="D188" i="1"/>
  <c r="D143" i="1"/>
  <c r="D165" i="1"/>
  <c r="D174" i="1"/>
  <c r="D155" i="1"/>
  <c r="D180" i="1"/>
  <c r="D189" i="1"/>
  <c r="D134" i="1"/>
  <c r="D144" i="1"/>
  <c r="D190" i="1"/>
  <c r="D145" i="1"/>
  <c r="D166" i="1"/>
  <c r="D175" i="1"/>
  <c r="D156" i="1"/>
  <c r="D191" i="1"/>
  <c r="D135" i="1"/>
  <c r="D146" i="1"/>
  <c r="D192" i="1"/>
  <c r="D147" i="1"/>
  <c r="D167" i="1"/>
  <c r="D157" i="1"/>
  <c r="D193" i="1"/>
  <c r="D136" i="1"/>
  <c r="D148" i="1"/>
  <c r="D194" i="1"/>
  <c r="D149" i="1"/>
  <c r="D168" i="1"/>
  <c r="D158" i="1"/>
  <c r="D195" i="1"/>
  <c r="D137" i="1"/>
  <c r="D150" i="1"/>
  <c r="D151" i="1"/>
  <c r="D159" i="1"/>
  <c r="D138" i="1"/>
  <c r="D152" i="1"/>
  <c r="D153" i="1"/>
  <c r="D160" i="1"/>
  <c r="D139" i="1"/>
  <c r="D154" i="1"/>
  <c r="D199" i="1"/>
  <c r="D200" i="1"/>
  <c r="D201" i="1"/>
  <c r="I143" i="1" l="1"/>
  <c r="J143" i="1" s="1"/>
  <c r="I144" i="1"/>
  <c r="J144" i="1" s="1"/>
  <c r="I189" i="1"/>
  <c r="J189" i="1" s="1"/>
  <c r="K30" i="1"/>
  <c r="K51" i="1"/>
  <c r="K31" i="1"/>
  <c r="K78" i="1"/>
  <c r="K99" i="1"/>
  <c r="K153" i="1"/>
  <c r="I87" i="1"/>
  <c r="J87" i="1" s="1"/>
  <c r="I89" i="1"/>
  <c r="J89" i="1" s="1"/>
  <c r="I90" i="1"/>
  <c r="J90" i="1" s="1"/>
  <c r="I91" i="1"/>
  <c r="J91" i="1" s="1"/>
  <c r="K76" i="1"/>
  <c r="I92" i="1"/>
  <c r="J92" i="1" s="1"/>
  <c r="K77" i="1"/>
  <c r="K101" i="1"/>
  <c r="I115" i="1"/>
  <c r="J115" i="1" s="1"/>
  <c r="K102" i="1"/>
  <c r="I116" i="1"/>
  <c r="J116" i="1" s="1"/>
  <c r="K103" i="1"/>
  <c r="I93" i="1"/>
  <c r="J93" i="1" s="1"/>
  <c r="I94" i="1"/>
  <c r="J94" i="1" s="1"/>
  <c r="I113" i="1"/>
  <c r="J113" i="1" s="1"/>
  <c r="I114" i="1"/>
  <c r="J114" i="1" s="1"/>
  <c r="I15" i="1"/>
  <c r="J15" i="1" s="1"/>
  <c r="K125" i="1"/>
  <c r="I17" i="1"/>
  <c r="J17" i="1" s="1"/>
  <c r="I139" i="1"/>
  <c r="J139" i="1" s="1"/>
  <c r="K126" i="1"/>
  <c r="K100" i="1"/>
  <c r="I118" i="1"/>
  <c r="J118" i="1" s="1"/>
  <c r="I18" i="1"/>
  <c r="J18" i="1" s="1"/>
  <c r="I140" i="1"/>
  <c r="J140" i="1" s="1"/>
  <c r="K127" i="1"/>
  <c r="I19" i="1"/>
  <c r="J19" i="1" s="1"/>
  <c r="I141" i="1"/>
  <c r="J141" i="1" s="1"/>
  <c r="I20" i="1"/>
  <c r="J20" i="1" s="1"/>
  <c r="I142" i="1"/>
  <c r="J142" i="1" s="1"/>
  <c r="I24" i="1"/>
  <c r="J24" i="1" s="1"/>
  <c r="K25" i="1"/>
  <c r="I42" i="1"/>
  <c r="J42" i="1" s="1"/>
  <c r="I96" i="1"/>
  <c r="J96" i="1" s="1"/>
  <c r="I165" i="1"/>
  <c r="J165" i="1" s="1"/>
  <c r="K26" i="1"/>
  <c r="K123" i="1"/>
  <c r="I159" i="1"/>
  <c r="J159" i="1" s="1"/>
  <c r="I23" i="1"/>
  <c r="J23" i="1" s="1"/>
  <c r="I161" i="1"/>
  <c r="J161" i="1" s="1"/>
  <c r="I162" i="1"/>
  <c r="J162" i="1" s="1"/>
  <c r="I39" i="1"/>
  <c r="J39" i="1" s="1"/>
  <c r="I163" i="1"/>
  <c r="J163" i="1" s="1"/>
  <c r="K121" i="1"/>
  <c r="I41" i="1"/>
  <c r="J41" i="1" s="1"/>
  <c r="I95" i="1"/>
  <c r="J95" i="1" s="1"/>
  <c r="I164" i="1"/>
  <c r="J164" i="1" s="1"/>
  <c r="K122" i="1"/>
  <c r="I43" i="1"/>
  <c r="J43" i="1" s="1"/>
  <c r="I111" i="1"/>
  <c r="J111" i="1" s="1"/>
  <c r="I166" i="1"/>
  <c r="J166" i="1" s="1"/>
  <c r="K27" i="1"/>
  <c r="K124" i="1"/>
  <c r="I167" i="1"/>
  <c r="J167" i="1" s="1"/>
  <c r="I168" i="1"/>
  <c r="J168" i="1" s="1"/>
  <c r="I183" i="1"/>
  <c r="J183" i="1" s="1"/>
  <c r="I47" i="1"/>
  <c r="J47" i="1" s="1"/>
  <c r="I185" i="1"/>
  <c r="J185" i="1" s="1"/>
  <c r="I48" i="1"/>
  <c r="J48" i="1" s="1"/>
  <c r="I117" i="1"/>
  <c r="J117" i="1" s="1"/>
  <c r="I186" i="1"/>
  <c r="J186" i="1" s="1"/>
  <c r="K49" i="1"/>
  <c r="K148" i="1"/>
  <c r="I63" i="1"/>
  <c r="J63" i="1" s="1"/>
  <c r="I187" i="1"/>
  <c r="J187" i="1" s="1"/>
  <c r="K50" i="1"/>
  <c r="K149" i="1"/>
  <c r="I65" i="1"/>
  <c r="J65" i="1" s="1"/>
  <c r="I119" i="1"/>
  <c r="J119" i="1" s="1"/>
  <c r="I188" i="1"/>
  <c r="J188" i="1" s="1"/>
  <c r="K150" i="1"/>
  <c r="I66" i="1"/>
  <c r="J66" i="1" s="1"/>
  <c r="I120" i="1"/>
  <c r="J120" i="1" s="1"/>
  <c r="K52" i="1"/>
  <c r="K151" i="1"/>
  <c r="I67" i="1"/>
  <c r="J67" i="1" s="1"/>
  <c r="K53" i="1"/>
  <c r="I68" i="1"/>
  <c r="J68" i="1" s="1"/>
  <c r="I137" i="1"/>
  <c r="J137" i="1" s="1"/>
  <c r="I191" i="1"/>
  <c r="J191" i="1" s="1"/>
  <c r="K55" i="1"/>
  <c r="K169" i="1"/>
  <c r="I135" i="1"/>
  <c r="J135" i="1" s="1"/>
  <c r="I69" i="1"/>
  <c r="J69" i="1" s="1"/>
  <c r="I138" i="1"/>
  <c r="J138" i="1" s="1"/>
  <c r="I192" i="1"/>
  <c r="J192" i="1" s="1"/>
  <c r="K73" i="1"/>
  <c r="K173" i="1"/>
  <c r="K145" i="1"/>
  <c r="K54" i="1"/>
  <c r="K146" i="1"/>
  <c r="K75" i="1"/>
  <c r="K4" i="1"/>
  <c r="K5" i="1"/>
  <c r="K79" i="1"/>
  <c r="K170" i="1"/>
  <c r="K3" i="1"/>
  <c r="K6" i="1"/>
  <c r="K97" i="1"/>
  <c r="K171" i="1"/>
  <c r="K2" i="1"/>
  <c r="K7" i="1"/>
  <c r="K98" i="1"/>
  <c r="K172" i="1"/>
  <c r="K32" i="1"/>
  <c r="I32" i="1"/>
  <c r="J32" i="1" s="1"/>
  <c r="K56" i="1"/>
  <c r="I56" i="1"/>
  <c r="J56" i="1" s="1"/>
  <c r="K80" i="1"/>
  <c r="I80" i="1"/>
  <c r="J80" i="1" s="1"/>
  <c r="I104" i="1"/>
  <c r="J104" i="1" s="1"/>
  <c r="K104" i="1"/>
  <c r="K128" i="1"/>
  <c r="I128" i="1"/>
  <c r="J128" i="1" s="1"/>
  <c r="K152" i="1"/>
  <c r="I152" i="1"/>
  <c r="J152" i="1" s="1"/>
  <c r="K176" i="1"/>
  <c r="I176" i="1"/>
  <c r="J176" i="1" s="1"/>
  <c r="K200" i="1"/>
  <c r="I200" i="1"/>
  <c r="J200" i="1" s="1"/>
  <c r="K8" i="1"/>
  <c r="K57" i="1"/>
  <c r="K129" i="1"/>
  <c r="K10" i="1"/>
  <c r="K106" i="1"/>
  <c r="K11" i="1"/>
  <c r="K35" i="1"/>
  <c r="K59" i="1"/>
  <c r="K83" i="1"/>
  <c r="K107" i="1"/>
  <c r="K131" i="1"/>
  <c r="K155" i="1"/>
  <c r="K179" i="1"/>
  <c r="K12" i="1"/>
  <c r="K36" i="1"/>
  <c r="K60" i="1"/>
  <c r="K84" i="1"/>
  <c r="K108" i="1"/>
  <c r="K132" i="1"/>
  <c r="K156" i="1"/>
  <c r="K180" i="1"/>
  <c r="K13" i="1"/>
  <c r="K37" i="1"/>
  <c r="K61" i="1"/>
  <c r="K85" i="1"/>
  <c r="K109" i="1"/>
  <c r="K133" i="1"/>
  <c r="K157" i="1"/>
  <c r="K181" i="1"/>
  <c r="K182" i="1"/>
  <c r="K38" i="1"/>
  <c r="K86" i="1"/>
  <c r="K134" i="1"/>
  <c r="K14" i="1"/>
  <c r="K62" i="1"/>
  <c r="K110" i="1"/>
  <c r="K158" i="1"/>
  <c r="K16" i="1"/>
  <c r="K40" i="1"/>
  <c r="K64" i="1"/>
  <c r="K88" i="1"/>
  <c r="K112" i="1"/>
  <c r="K136" i="1"/>
  <c r="K160" i="1"/>
  <c r="K184" i="1"/>
  <c r="I9" i="1"/>
  <c r="J9" i="1" s="1"/>
  <c r="I34" i="1"/>
  <c r="J34" i="1" s="1"/>
  <c r="I58" i="1"/>
  <c r="J58" i="1" s="1"/>
  <c r="I82" i="1"/>
  <c r="J82" i="1" s="1"/>
  <c r="I130" i="1"/>
  <c r="J130" i="1" s="1"/>
  <c r="I154" i="1"/>
  <c r="J154" i="1" s="1"/>
  <c r="I178" i="1"/>
  <c r="J178" i="1" s="1"/>
  <c r="I177" i="1"/>
  <c r="J177" i="1" s="1"/>
  <c r="K201" i="1"/>
  <c r="I105" i="1"/>
  <c r="J105" i="1" s="1"/>
  <c r="I81" i="1"/>
  <c r="J81" i="1" s="1"/>
  <c r="I33" i="1"/>
  <c r="J33" i="1" s="1"/>
</calcChain>
</file>

<file path=xl/sharedStrings.xml><?xml version="1.0" encoding="utf-8"?>
<sst xmlns="http://schemas.openxmlformats.org/spreadsheetml/2006/main" count="2936" uniqueCount="299">
  <si>
    <t>First Name</t>
  </si>
  <si>
    <t>Last Name</t>
  </si>
  <si>
    <t>Year of Birth</t>
  </si>
  <si>
    <t>Year of Death</t>
  </si>
  <si>
    <t>Country of Origin</t>
  </si>
  <si>
    <t>Genre</t>
  </si>
  <si>
    <t>William</t>
  </si>
  <si>
    <t>Wordsworth</t>
  </si>
  <si>
    <t>England</t>
  </si>
  <si>
    <t>Romanticism</t>
  </si>
  <si>
    <t>Sylvia</t>
  </si>
  <si>
    <t>Plath</t>
  </si>
  <si>
    <t>United States</t>
  </si>
  <si>
    <t>Confessional poetry</t>
  </si>
  <si>
    <t>Langston</t>
  </si>
  <si>
    <t>Hughes</t>
  </si>
  <si>
    <t>Jazz poetry</t>
  </si>
  <si>
    <t>Emily</t>
  </si>
  <si>
    <t>Dickinson</t>
  </si>
  <si>
    <t>Lyric poetry</t>
  </si>
  <si>
    <t>Rumi</t>
  </si>
  <si>
    <t>Jalaluddin</t>
  </si>
  <si>
    <t>Persia</t>
  </si>
  <si>
    <t>Sufi poetry</t>
  </si>
  <si>
    <t>Pablo</t>
  </si>
  <si>
    <t>Neruda</t>
  </si>
  <si>
    <t>Chile</t>
  </si>
  <si>
    <t>Surrealism</t>
  </si>
  <si>
    <t>Maya</t>
  </si>
  <si>
    <t>Angelou</t>
  </si>
  <si>
    <t>Civil Rights Movement poetry</t>
  </si>
  <si>
    <t>Rabindranath</t>
  </si>
  <si>
    <t>Tagore</t>
  </si>
  <si>
    <t>India</t>
  </si>
  <si>
    <t>Bengali renaissance</t>
  </si>
  <si>
    <t>Walt</t>
  </si>
  <si>
    <t>Whitman</t>
  </si>
  <si>
    <t>Transcendentalism</t>
  </si>
  <si>
    <t>Matsuo</t>
  </si>
  <si>
    <t>Basho</t>
  </si>
  <si>
    <t>Japan</t>
  </si>
  <si>
    <t>Haiku</t>
  </si>
  <si>
    <t>John</t>
  </si>
  <si>
    <t>Keats</t>
  </si>
  <si>
    <t>Romantic poetry</t>
  </si>
  <si>
    <t>Elizabeth</t>
  </si>
  <si>
    <t>Barrett Browning</t>
  </si>
  <si>
    <t>Victorian poetry</t>
  </si>
  <si>
    <t>Charles</t>
  </si>
  <si>
    <t>Baudelaire</t>
  </si>
  <si>
    <t>France</t>
  </si>
  <si>
    <t>Symbolism</t>
  </si>
  <si>
    <t>Louise</t>
  </si>
  <si>
    <t>GlĂĽck</t>
  </si>
  <si>
    <t>Contemporary poetry</t>
  </si>
  <si>
    <t>Robert</t>
  </si>
  <si>
    <t>Frost</t>
  </si>
  <si>
    <t>Poetry of rural life</t>
  </si>
  <si>
    <t>Edgar</t>
  </si>
  <si>
    <t>Allan Poe</t>
  </si>
  <si>
    <t>Gothic fiction</t>
  </si>
  <si>
    <t>Anne</t>
  </si>
  <si>
    <t>Sexton</t>
  </si>
  <si>
    <t>Dante</t>
  </si>
  <si>
    <t>Alighieri</t>
  </si>
  <si>
    <t>Italy</t>
  </si>
  <si>
    <t>Epic poetry</t>
  </si>
  <si>
    <t>Geoffrey</t>
  </si>
  <si>
    <t>Chaucer</t>
  </si>
  <si>
    <t>Medieval poetry</t>
  </si>
  <si>
    <t>Lord</t>
  </si>
  <si>
    <t>Byron</t>
  </si>
  <si>
    <t>Oscar</t>
  </si>
  <si>
    <t>Wilde</t>
  </si>
  <si>
    <t>Ireland</t>
  </si>
  <si>
    <t>Aestheticism</t>
  </si>
  <si>
    <t>Virginia</t>
  </si>
  <si>
    <t>Woolf</t>
  </si>
  <si>
    <t>Modern literature</t>
  </si>
  <si>
    <t>Arthur</t>
  </si>
  <si>
    <t>Rimbaud</t>
  </si>
  <si>
    <t>Johann</t>
  </si>
  <si>
    <t>Goethe</t>
  </si>
  <si>
    <t>Germany</t>
  </si>
  <si>
    <t>Sturm und Drang</t>
  </si>
  <si>
    <t>Federico</t>
  </si>
  <si>
    <t>GarcĂ­a Lorca</t>
  </si>
  <si>
    <t>Spain</t>
  </si>
  <si>
    <t>století</t>
  </si>
  <si>
    <t>Aktivní od</t>
  </si>
  <si>
    <t>století aktivní od</t>
  </si>
  <si>
    <t>Popisky řádků</t>
  </si>
  <si>
    <t>Celkový součet</t>
  </si>
  <si>
    <t>Počet z First Name</t>
  </si>
  <si>
    <t>(Více položek)</t>
  </si>
  <si>
    <t>pareto</t>
  </si>
  <si>
    <t>svyhledat/vlookup</t>
  </si>
  <si>
    <t>xlookup</t>
  </si>
  <si>
    <t>Alighieri1265</t>
  </si>
  <si>
    <t>Alighieri1275</t>
  </si>
  <si>
    <t>Alighieri1285</t>
  </si>
  <si>
    <t>Alighieri1295</t>
  </si>
  <si>
    <t>Jalaluddin1207</t>
  </si>
  <si>
    <t>Jalaluddin1217</t>
  </si>
  <si>
    <t>Jalaluddin1227</t>
  </si>
  <si>
    <t>Jalaluddin1237</t>
  </si>
  <si>
    <t>Jalaluddin1247</t>
  </si>
  <si>
    <t>Jalaluddin1257</t>
  </si>
  <si>
    <t>Jalaluddin1267</t>
  </si>
  <si>
    <t>Jalaluddin1277</t>
  </si>
  <si>
    <t>Alighieri1305</t>
  </si>
  <si>
    <t>Alighieri1315</t>
  </si>
  <si>
    <t>Alighieri1325</t>
  </si>
  <si>
    <t>Alighieri1335</t>
  </si>
  <si>
    <t>Chaucer1343</t>
  </si>
  <si>
    <t>Chaucer1353</t>
  </si>
  <si>
    <t>Chaucer1363</t>
  </si>
  <si>
    <t>Chaucer1373</t>
  </si>
  <si>
    <t>Chaucer1383</t>
  </si>
  <si>
    <t>Chaucer1393</t>
  </si>
  <si>
    <t>Chaucer1403</t>
  </si>
  <si>
    <t>Chaucer1413</t>
  </si>
  <si>
    <t>Basho1644</t>
  </si>
  <si>
    <t>Basho1654</t>
  </si>
  <si>
    <t>Basho1664</t>
  </si>
  <si>
    <t>Basho1674</t>
  </si>
  <si>
    <t>Basho1684</t>
  </si>
  <si>
    <t>Basho1694</t>
  </si>
  <si>
    <t>Basho1704</t>
  </si>
  <si>
    <t>Basho1714</t>
  </si>
  <si>
    <t>Byron1788</t>
  </si>
  <si>
    <t>Keats1795</t>
  </si>
  <si>
    <t>Byron1798</t>
  </si>
  <si>
    <t>Wordsworth1770</t>
  </si>
  <si>
    <t>Wordsworth1780</t>
  </si>
  <si>
    <t>Wordsworth1790</t>
  </si>
  <si>
    <t>Goethe1749</t>
  </si>
  <si>
    <t>Goethe1759</t>
  </si>
  <si>
    <t>Goethe1769</t>
  </si>
  <si>
    <t>Goethe1779</t>
  </si>
  <si>
    <t>Goethe1789</t>
  </si>
  <si>
    <t>Goethe1799</t>
  </si>
  <si>
    <t>Wilde1854</t>
  </si>
  <si>
    <t>Wilde1864</t>
  </si>
  <si>
    <t>Wilde1874</t>
  </si>
  <si>
    <t>Wilde1884</t>
  </si>
  <si>
    <t>Wilde1894</t>
  </si>
  <si>
    <t>Tagore1861</t>
  </si>
  <si>
    <t>Tagore1871</t>
  </si>
  <si>
    <t>Tagore1881</t>
  </si>
  <si>
    <t>Tagore1891</t>
  </si>
  <si>
    <t>Allan Poe1809</t>
  </si>
  <si>
    <t>Allan Poe1819</t>
  </si>
  <si>
    <t>Allan Poe1829</t>
  </si>
  <si>
    <t>Allan Poe1839</t>
  </si>
  <si>
    <t>Allan Poe1849</t>
  </si>
  <si>
    <t>Allan Poe1859</t>
  </si>
  <si>
    <t>Allan Poe1869</t>
  </si>
  <si>
    <t>Allan Poe1879</t>
  </si>
  <si>
    <t>Dickinson1830</t>
  </si>
  <si>
    <t>Dickinson1840</t>
  </si>
  <si>
    <t>Dickinson1850</t>
  </si>
  <si>
    <t>Dickinson1860</t>
  </si>
  <si>
    <t>Dickinson1870</t>
  </si>
  <si>
    <t>Dickinson1880</t>
  </si>
  <si>
    <t>Dickinson1890</t>
  </si>
  <si>
    <t>Woolf1882</t>
  </si>
  <si>
    <t>Woolf1892</t>
  </si>
  <si>
    <t>Frost1874</t>
  </si>
  <si>
    <t>Frost1884</t>
  </si>
  <si>
    <t>Frost1894</t>
  </si>
  <si>
    <t>Keats1805</t>
  </si>
  <si>
    <t>Byron1808</t>
  </si>
  <si>
    <t>Keats1815</t>
  </si>
  <si>
    <t>Byron1818</t>
  </si>
  <si>
    <t>Keats1825</t>
  </si>
  <si>
    <t>Byron1828</t>
  </si>
  <si>
    <t>Keats1835</t>
  </si>
  <si>
    <t>Byron1838</t>
  </si>
  <si>
    <t>Keats1845</t>
  </si>
  <si>
    <t>Byron1848</t>
  </si>
  <si>
    <t>Keats1855</t>
  </si>
  <si>
    <t>Byron1858</t>
  </si>
  <si>
    <t>Keats1865</t>
  </si>
  <si>
    <t>Wordsworth1800</t>
  </si>
  <si>
    <t>Wordsworth1810</t>
  </si>
  <si>
    <t>Wordsworth1820</t>
  </si>
  <si>
    <t>Wordsworth1830</t>
  </si>
  <si>
    <t>Wordsworth1840</t>
  </si>
  <si>
    <t>Goethe1809</t>
  </si>
  <si>
    <t>Goethe1819</t>
  </si>
  <si>
    <t>GarcĂ­a Lorca1898</t>
  </si>
  <si>
    <t>Baudelaire1821</t>
  </si>
  <si>
    <t>Baudelaire1831</t>
  </si>
  <si>
    <t>Baudelaire1841</t>
  </si>
  <si>
    <t>Baudelaire1851</t>
  </si>
  <si>
    <t>Rimbaud1854</t>
  </si>
  <si>
    <t>Baudelaire1861</t>
  </si>
  <si>
    <t>Rimbaud1864</t>
  </si>
  <si>
    <t>Baudelaire1871</t>
  </si>
  <si>
    <t>Rimbaud1874</t>
  </si>
  <si>
    <t>Baudelaire1881</t>
  </si>
  <si>
    <t>Rimbaud1884</t>
  </si>
  <si>
    <t>Baudelaire1891</t>
  </si>
  <si>
    <t>Rimbaud1894</t>
  </si>
  <si>
    <t>Whitman1819</t>
  </si>
  <si>
    <t>Whitman1829</t>
  </si>
  <si>
    <t>Whitman1839</t>
  </si>
  <si>
    <t>Whitman1849</t>
  </si>
  <si>
    <t>Whitman1859</t>
  </si>
  <si>
    <t>Whitman1869</t>
  </si>
  <si>
    <t>Whitman1879</t>
  </si>
  <si>
    <t>Whitman1889</t>
  </si>
  <si>
    <t>Barrett Browning1806</t>
  </si>
  <si>
    <t>Barrett Browning1816</t>
  </si>
  <si>
    <t>Barrett Browning1826</t>
  </si>
  <si>
    <t>Barrett Browning1836</t>
  </si>
  <si>
    <t>Barrett Browning1846</t>
  </si>
  <si>
    <t>Barrett Browning1856</t>
  </si>
  <si>
    <t>Barrett Browning1866</t>
  </si>
  <si>
    <t>Barrett Browning1876</t>
  </si>
  <si>
    <t>Wilde1904</t>
  </si>
  <si>
    <t>Wilde1914</t>
  </si>
  <si>
    <t>Wilde1924</t>
  </si>
  <si>
    <t>Tagore1901</t>
  </si>
  <si>
    <t>Tagore1911</t>
  </si>
  <si>
    <t>Tagore1921</t>
  </si>
  <si>
    <t>Tagore1931</t>
  </si>
  <si>
    <t>Angelou1928</t>
  </si>
  <si>
    <t>Angelou1938</t>
  </si>
  <si>
    <t>Angelou1948</t>
  </si>
  <si>
    <t>Angelou1958</t>
  </si>
  <si>
    <t>Angelou1968</t>
  </si>
  <si>
    <t>Angelou1978</t>
  </si>
  <si>
    <t>Angelou1988</t>
  </si>
  <si>
    <t>Angelou1998</t>
  </si>
  <si>
    <t>Sexton1928</t>
  </si>
  <si>
    <t>Plath1932</t>
  </si>
  <si>
    <t>Sexton1938</t>
  </si>
  <si>
    <t>Plath1942</t>
  </si>
  <si>
    <t>Sexton1948</t>
  </si>
  <si>
    <t>Plath1952</t>
  </si>
  <si>
    <t>Sexton1958</t>
  </si>
  <si>
    <t>Plath1962</t>
  </si>
  <si>
    <t>Sexton1968</t>
  </si>
  <si>
    <t>Plath1972</t>
  </si>
  <si>
    <t>Sexton1978</t>
  </si>
  <si>
    <t>Plath1982</t>
  </si>
  <si>
    <t>Sexton1988</t>
  </si>
  <si>
    <t>Plath1992</t>
  </si>
  <si>
    <t>Sexton1998</t>
  </si>
  <si>
    <t>GlĂĽck1943</t>
  </si>
  <si>
    <t>GlĂĽck1953</t>
  </si>
  <si>
    <t>GlĂĽck1963</t>
  </si>
  <si>
    <t>GlĂĽck1973</t>
  </si>
  <si>
    <t>GlĂĽck1983</t>
  </si>
  <si>
    <t>GlĂĽck1993</t>
  </si>
  <si>
    <t>Hughes1902</t>
  </si>
  <si>
    <t>Hughes1912</t>
  </si>
  <si>
    <t>Hughes1922</t>
  </si>
  <si>
    <t>Hughes1932</t>
  </si>
  <si>
    <t>Hughes1942</t>
  </si>
  <si>
    <t>Hughes1952</t>
  </si>
  <si>
    <t>Hughes1962</t>
  </si>
  <si>
    <t>Hughes1972</t>
  </si>
  <si>
    <t>Dickinson1900</t>
  </si>
  <si>
    <t>Woolf1902</t>
  </si>
  <si>
    <t>Woolf1912</t>
  </si>
  <si>
    <t>Woolf1922</t>
  </si>
  <si>
    <t>Woolf1932</t>
  </si>
  <si>
    <t>Woolf1942</t>
  </si>
  <si>
    <t>Woolf1952</t>
  </si>
  <si>
    <t>Frost1904</t>
  </si>
  <si>
    <t>Frost1914</t>
  </si>
  <si>
    <t>Frost1924</t>
  </si>
  <si>
    <t>Frost1934</t>
  </si>
  <si>
    <t>Frost1944</t>
  </si>
  <si>
    <t>Neruda1904</t>
  </si>
  <si>
    <t>GarcĂ­a Lorca1908</t>
  </si>
  <si>
    <t>Neruda1914</t>
  </si>
  <si>
    <t>GarcĂ­a Lorca1918</t>
  </si>
  <si>
    <t>Neruda1924</t>
  </si>
  <si>
    <t>GarcĂ­a Lorca1928</t>
  </si>
  <si>
    <t>Neruda1934</t>
  </si>
  <si>
    <t>GarcĂ­a Lorca1938</t>
  </si>
  <si>
    <t>Neruda1944</t>
  </si>
  <si>
    <t>GarcĂ­a Lorca1948</t>
  </si>
  <si>
    <t>Neruda1954</t>
  </si>
  <si>
    <t>GarcĂ­a Lorca1958</t>
  </si>
  <si>
    <t>Neruda1964</t>
  </si>
  <si>
    <t>GarcĂ­a Lorca1968</t>
  </si>
  <si>
    <t>Neruda1974</t>
  </si>
  <si>
    <t>Rimbaud1904</t>
  </si>
  <si>
    <t>Rimbaud1914</t>
  </si>
  <si>
    <t>Rimbaud1924</t>
  </si>
  <si>
    <t>Plath2002</t>
  </si>
  <si>
    <t>GlĂĽck2003</t>
  </si>
  <si>
    <t>GlĂĽck2013</t>
  </si>
  <si>
    <t>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</si>
</sst>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charset val="238"/>
      <scheme val="minor"/>
    </font>
    <font>
      <sz val="11"/>
      <color theme="1"/>
      <name val="Aptos Narrow"/>
      <family val="2"/>
      <charset val="238"/>
      <scheme val="minor"/>
    </font>
    <font>
      <sz val="18"/>
      <color theme="3"/>
      <name val="Aptos Display"/>
      <family val="2"/>
      <charset val="238"/>
      <scheme val="major"/>
    </font>
    <font>
      <b/>
      <sz val="15"/>
      <color theme="3"/>
      <name val="Aptos Narrow"/>
      <family val="2"/>
      <charset val="238"/>
      <scheme val="minor"/>
    </font>
    <font>
      <b/>
      <sz val="13"/>
      <color theme="3"/>
      <name val="Aptos Narrow"/>
      <family val="2"/>
      <charset val="238"/>
      <scheme val="minor"/>
    </font>
    <font>
      <b/>
      <sz val="11"/>
      <color theme="3"/>
      <name val="Aptos Narrow"/>
      <family val="2"/>
      <charset val="238"/>
      <scheme val="minor"/>
    </font>
    <font>
      <sz val="11"/>
      <color rgb="FF006100"/>
      <name val="Aptos Narrow"/>
      <family val="2"/>
      <charset val="238"/>
      <scheme val="minor"/>
    </font>
    <font>
      <sz val="11"/>
      <color rgb="FF9C0006"/>
      <name val="Aptos Narrow"/>
      <family val="2"/>
      <charset val="238"/>
      <scheme val="minor"/>
    </font>
    <font>
      <sz val="11"/>
      <color rgb="FF9C5700"/>
      <name val="Aptos Narrow"/>
      <family val="2"/>
      <charset val="238"/>
      <scheme val="minor"/>
    </font>
    <font>
      <sz val="11"/>
      <color rgb="FF3F3F76"/>
      <name val="Aptos Narrow"/>
      <family val="2"/>
      <charset val="238"/>
      <scheme val="minor"/>
    </font>
    <font>
      <b/>
      <sz val="11"/>
      <color rgb="FF3F3F3F"/>
      <name val="Aptos Narrow"/>
      <family val="2"/>
      <charset val="238"/>
      <scheme val="minor"/>
    </font>
    <font>
      <b/>
      <sz val="11"/>
      <color rgb="FFFA7D00"/>
      <name val="Aptos Narrow"/>
      <family val="2"/>
      <charset val="238"/>
      <scheme val="minor"/>
    </font>
    <font>
      <sz val="11"/>
      <color rgb="FFFA7D00"/>
      <name val="Aptos Narrow"/>
      <family val="2"/>
      <charset val="238"/>
      <scheme val="minor"/>
    </font>
    <font>
      <b/>
      <sz val="11"/>
      <color theme="0"/>
      <name val="Aptos Narrow"/>
      <family val="2"/>
      <charset val="238"/>
      <scheme val="minor"/>
    </font>
    <font>
      <sz val="11"/>
      <color rgb="FFFF0000"/>
      <name val="Aptos Narrow"/>
      <family val="2"/>
      <charset val="238"/>
      <scheme val="minor"/>
    </font>
    <font>
      <i/>
      <sz val="11"/>
      <color rgb="FF7F7F7F"/>
      <name val="Aptos Narrow"/>
      <family val="2"/>
      <charset val="238"/>
      <scheme val="minor"/>
    </font>
    <font>
      <b/>
      <sz val="11"/>
      <color theme="1"/>
      <name val="Aptos Narrow"/>
      <family val="2"/>
      <charset val="238"/>
      <scheme val="minor"/>
    </font>
    <font>
      <sz val="11"/>
      <color theme="0"/>
      <name val="Aptos Narrow"/>
      <family val="2"/>
      <charset val="23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</cellXfs>
  <cellStyles count="42">
    <cellStyle name="20 % – Zvýraznění 1" xfId="19" builtinId="30" customBuiltin="1"/>
    <cellStyle name="20 % – Zvýraznění 2" xfId="23" builtinId="34" customBuiltin="1"/>
    <cellStyle name="20 % – Zvýraznění 3" xfId="27" builtinId="38" customBuiltin="1"/>
    <cellStyle name="20 % – Zvýraznění 4" xfId="31" builtinId="42" customBuiltin="1"/>
    <cellStyle name="20 % – Zvýraznění 5" xfId="35" builtinId="46" customBuiltin="1"/>
    <cellStyle name="20 % – Zvýraznění 6" xfId="39" builtinId="50" customBuiltin="1"/>
    <cellStyle name="40 % – Zvýraznění 1" xfId="20" builtinId="31" customBuiltin="1"/>
    <cellStyle name="40 % – Zvýraznění 2" xfId="24" builtinId="35" customBuiltin="1"/>
    <cellStyle name="40 % – Zvýraznění 3" xfId="28" builtinId="39" customBuiltin="1"/>
    <cellStyle name="40 % – Zvýraznění 4" xfId="32" builtinId="43" customBuiltin="1"/>
    <cellStyle name="40 % – Zvýraznění 5" xfId="36" builtinId="47" customBuiltin="1"/>
    <cellStyle name="40 % – Zvýraznění 6" xfId="40" builtinId="51" customBuiltin="1"/>
    <cellStyle name="60 % – Zvýraznění 1" xfId="21" builtinId="32" customBuiltin="1"/>
    <cellStyle name="60 % – Zvýraznění 2" xfId="25" builtinId="36" customBuiltin="1"/>
    <cellStyle name="60 % – Zvýraznění 3" xfId="29" builtinId="40" customBuiltin="1"/>
    <cellStyle name="60 % – Zvýraznění 4" xfId="33" builtinId="44" customBuiltin="1"/>
    <cellStyle name="60 % – Zvýraznění 5" xfId="37" builtinId="48" customBuiltin="1"/>
    <cellStyle name="60 % – Zvýraznění 6" xfId="41" builtinId="52" customBuiltin="1"/>
    <cellStyle name="Celkem" xfId="17" builtinId="25" customBuiltin="1"/>
    <cellStyle name="Kontrolní buňka" xfId="13" builtinId="23" customBuiltin="1"/>
    <cellStyle name="Nadpis 1" xfId="2" builtinId="16" customBuiltin="1"/>
    <cellStyle name="Nadpis 2" xfId="3" builtinId="17" customBuiltin="1"/>
    <cellStyle name="Nadpis 3" xfId="4" builtinId="18" customBuiltin="1"/>
    <cellStyle name="Nadpis 4" xfId="5" builtinId="19" customBuiltin="1"/>
    <cellStyle name="Název" xfId="1" builtinId="15" customBuiltin="1"/>
    <cellStyle name="Neutrální" xfId="8" builtinId="28" customBuiltin="1"/>
    <cellStyle name="Normální" xfId="0" builtinId="0"/>
    <cellStyle name="Poznámka" xfId="15" builtinId="10" customBuiltin="1"/>
    <cellStyle name="Propojená buňka" xfId="12" builtinId="24" customBuiltin="1"/>
    <cellStyle name="Správně" xfId="6" builtinId="26" customBuiltin="1"/>
    <cellStyle name="Špatně" xfId="7" builtinId="27" customBuiltin="1"/>
    <cellStyle name="Text upozornění" xfId="14" builtinId="11" customBuiltin="1"/>
    <cellStyle name="Vstup" xfId="9" builtinId="20" customBuiltin="1"/>
    <cellStyle name="Výpočet" xfId="11" builtinId="22" customBuiltin="1"/>
    <cellStyle name="Výstup" xfId="10" builtinId="21" customBuiltin="1"/>
    <cellStyle name="Vysvětlující text" xfId="16" builtinId="53" customBuiltin="1"/>
    <cellStyle name="Zvýraznění 1" xfId="18" builtinId="29" customBuiltin="1"/>
    <cellStyle name="Zvýraznění 2" xfId="22" builtinId="33" customBuiltin="1"/>
    <cellStyle name="Zvýraznění 3" xfId="26" builtinId="37" customBuiltin="1"/>
    <cellStyle name="Zvýraznění 4" xfId="30" builtinId="41" customBuiltin="1"/>
    <cellStyle name="Zvýraznění 5" xfId="34" builtinId="45" customBuiltin="1"/>
    <cellStyle name="Zvýraznění 6" xfId="38" builtinId="49" customBuiltin="1"/>
  </cellStyles>
  <dxfs count="13"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[poets_dataset.xlsm]List2!Kontingenční tabulka1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počet</a:t>
            </a:r>
            <a:r>
              <a:rPr lang="cs-CZ" baseline="0"/>
              <a:t> autorů ve stoletích dle zemí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circle"/>
          <c:size val="4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List2!$AY$14</c:f>
              <c:strCache>
                <c:ptCount val="1"/>
                <c:pt idx="0">
                  <c:v>Celkem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List2!$AW$15:$AX$42</c:f>
              <c:multiLvlStrCache>
                <c:ptCount val="27"/>
                <c:lvl>
                  <c:pt idx="0">
                    <c:v>Persia</c:v>
                  </c:pt>
                  <c:pt idx="1">
                    <c:v>Italy</c:v>
                  </c:pt>
                  <c:pt idx="2">
                    <c:v>England</c:v>
                  </c:pt>
                  <c:pt idx="3">
                    <c:v>Italy</c:v>
                  </c:pt>
                  <c:pt idx="4">
                    <c:v>England</c:v>
                  </c:pt>
                  <c:pt idx="5">
                    <c:v>Japan</c:v>
                  </c:pt>
                  <c:pt idx="6">
                    <c:v>England</c:v>
                  </c:pt>
                  <c:pt idx="7">
                    <c:v>Germany</c:v>
                  </c:pt>
                  <c:pt idx="8">
                    <c:v>Japan</c:v>
                  </c:pt>
                  <c:pt idx="9">
                    <c:v>England</c:v>
                  </c:pt>
                  <c:pt idx="10">
                    <c:v>United States</c:v>
                  </c:pt>
                  <c:pt idx="11">
                    <c:v>France</c:v>
                  </c:pt>
                  <c:pt idx="12">
                    <c:v>Ireland</c:v>
                  </c:pt>
                  <c:pt idx="13">
                    <c:v>India</c:v>
                  </c:pt>
                  <c:pt idx="14">
                    <c:v>Germany</c:v>
                  </c:pt>
                  <c:pt idx="15">
                    <c:v>Spain</c:v>
                  </c:pt>
                  <c:pt idx="16">
                    <c:v>United States</c:v>
                  </c:pt>
                  <c:pt idx="17">
                    <c:v>Chile</c:v>
                  </c:pt>
                  <c:pt idx="18">
                    <c:v>Spain</c:v>
                  </c:pt>
                  <c:pt idx="19">
                    <c:v>England</c:v>
                  </c:pt>
                  <c:pt idx="20">
                    <c:v>India</c:v>
                  </c:pt>
                  <c:pt idx="21">
                    <c:v>Ireland</c:v>
                  </c:pt>
                  <c:pt idx="22">
                    <c:v>France</c:v>
                  </c:pt>
                  <c:pt idx="23">
                    <c:v>United States</c:v>
                  </c:pt>
                  <c:pt idx="24">
                    <c:v>Germany</c:v>
                  </c:pt>
                  <c:pt idx="25">
                    <c:v>United States</c:v>
                  </c:pt>
                  <c:pt idx="26">
                    <c:v>England</c:v>
                  </c:pt>
                </c:lvl>
                <c:lvl>
                  <c:pt idx="0">
                    <c:v>13</c:v>
                  </c:pt>
                  <c:pt idx="2">
                    <c:v>14</c:v>
                  </c:pt>
                  <c:pt idx="4">
                    <c:v>15</c:v>
                  </c:pt>
                  <c:pt idx="5">
                    <c:v>17</c:v>
                  </c:pt>
                  <c:pt idx="6">
                    <c:v>18</c:v>
                  </c:pt>
                  <c:pt idx="9">
                    <c:v>19</c:v>
                  </c:pt>
                  <c:pt idx="16">
                    <c:v>20</c:v>
                  </c:pt>
                  <c:pt idx="23">
                    <c:v>21</c:v>
                  </c:pt>
                  <c:pt idx="24">
                    <c:v>23</c:v>
                  </c:pt>
                </c:lvl>
              </c:multiLvlStrCache>
            </c:multiLvlStrRef>
          </c:cat>
          <c:val>
            <c:numRef>
              <c:f>List2!$AY$15:$AY$42</c:f>
              <c:numCache>
                <c:formatCode>General</c:formatCode>
                <c:ptCount val="27"/>
                <c:pt idx="0">
                  <c:v>8</c:v>
                </c:pt>
                <c:pt idx="1">
                  <c:v>4</c:v>
                </c:pt>
                <c:pt idx="2">
                  <c:v>6</c:v>
                </c:pt>
                <c:pt idx="3">
                  <c:v>4</c:v>
                </c:pt>
                <c:pt idx="4">
                  <c:v>2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2</c:v>
                </c:pt>
                <c:pt idx="9">
                  <c:v>28</c:v>
                </c:pt>
                <c:pt idx="10">
                  <c:v>26</c:v>
                </c:pt>
                <c:pt idx="11">
                  <c:v>13</c:v>
                </c:pt>
                <c:pt idx="12">
                  <c:v>5</c:v>
                </c:pt>
                <c:pt idx="13">
                  <c:v>4</c:v>
                </c:pt>
                <c:pt idx="14">
                  <c:v>2</c:v>
                </c:pt>
                <c:pt idx="15">
                  <c:v>1</c:v>
                </c:pt>
                <c:pt idx="16">
                  <c:v>43</c:v>
                </c:pt>
                <c:pt idx="17">
                  <c:v>8</c:v>
                </c:pt>
                <c:pt idx="18">
                  <c:v>7</c:v>
                </c:pt>
                <c:pt idx="19">
                  <c:v>6</c:v>
                </c:pt>
                <c:pt idx="20">
                  <c:v>4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5</c:v>
                </c:pt>
                <c:pt idx="25">
                  <c:v>2</c:v>
                </c:pt>
                <c:pt idx="2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6A-48FE-8617-1A7999E77E8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861120079"/>
        <c:axId val="861121519"/>
      </c:barChart>
      <c:catAx>
        <c:axId val="86112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1121519"/>
        <c:crosses val="autoZero"/>
        <c:auto val="1"/>
        <c:lblAlgn val="ctr"/>
        <c:lblOffset val="100"/>
        <c:noMultiLvlLbl val="0"/>
      </c:catAx>
      <c:valAx>
        <c:axId val="86112151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6112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[poets_dataset.xlsm]List2!Kontingenční tabulka2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Název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circle"/>
          <c:size val="4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List2!$BC$14</c:f>
              <c:strCache>
                <c:ptCount val="1"/>
                <c:pt idx="0">
                  <c:v>Celkem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List2!$BA$15:$BB$38</c:f>
              <c:multiLvlStrCache>
                <c:ptCount val="23"/>
                <c:lvl>
                  <c:pt idx="0">
                    <c:v>Ireland</c:v>
                  </c:pt>
                  <c:pt idx="1">
                    <c:v>India</c:v>
                  </c:pt>
                  <c:pt idx="2">
                    <c:v>United States</c:v>
                  </c:pt>
                  <c:pt idx="3">
                    <c:v>United States</c:v>
                  </c:pt>
                  <c:pt idx="4">
                    <c:v>United States</c:v>
                  </c:pt>
                  <c:pt idx="5">
                    <c:v>Italy</c:v>
                  </c:pt>
                  <c:pt idx="6">
                    <c:v>United States</c:v>
                  </c:pt>
                  <c:pt idx="7">
                    <c:v>Japan</c:v>
                  </c:pt>
                  <c:pt idx="8">
                    <c:v>United States</c:v>
                  </c:pt>
                  <c:pt idx="9">
                    <c:v>United States</c:v>
                  </c:pt>
                  <c:pt idx="10">
                    <c:v>England</c:v>
                  </c:pt>
                  <c:pt idx="11">
                    <c:v>England</c:v>
                  </c:pt>
                  <c:pt idx="12">
                    <c:v>United States</c:v>
                  </c:pt>
                  <c:pt idx="13">
                    <c:v>England</c:v>
                  </c:pt>
                  <c:pt idx="14">
                    <c:v>England</c:v>
                  </c:pt>
                  <c:pt idx="15">
                    <c:v>Germany</c:v>
                  </c:pt>
                  <c:pt idx="16">
                    <c:v>Persia</c:v>
                  </c:pt>
                  <c:pt idx="17">
                    <c:v>Spain</c:v>
                  </c:pt>
                  <c:pt idx="18">
                    <c:v>Chile</c:v>
                  </c:pt>
                  <c:pt idx="19">
                    <c:v>Germany</c:v>
                  </c:pt>
                  <c:pt idx="20">
                    <c:v>France</c:v>
                  </c:pt>
                  <c:pt idx="21">
                    <c:v>United States</c:v>
                  </c:pt>
                  <c:pt idx="22">
                    <c:v>England</c:v>
                  </c:pt>
                </c:lvl>
                <c:lvl>
                  <c:pt idx="0">
                    <c:v>Aestheticism</c:v>
                  </c:pt>
                  <c:pt idx="1">
                    <c:v>Bengali renaissance</c:v>
                  </c:pt>
                  <c:pt idx="2">
                    <c:v>Civil Rights Movement poetry</c:v>
                  </c:pt>
                  <c:pt idx="3">
                    <c:v>Confessional poetry</c:v>
                  </c:pt>
                  <c:pt idx="4">
                    <c:v>Contemporary poetry</c:v>
                  </c:pt>
                  <c:pt idx="5">
                    <c:v>Epic poetry</c:v>
                  </c:pt>
                  <c:pt idx="6">
                    <c:v>Gothic fiction</c:v>
                  </c:pt>
                  <c:pt idx="7">
                    <c:v>Haiku</c:v>
                  </c:pt>
                  <c:pt idx="8">
                    <c:v>Jazz poetry</c:v>
                  </c:pt>
                  <c:pt idx="9">
                    <c:v>Lyric poetry</c:v>
                  </c:pt>
                  <c:pt idx="10">
                    <c:v>Medieval poetry</c:v>
                  </c:pt>
                  <c:pt idx="11">
                    <c:v>Modern literature</c:v>
                  </c:pt>
                  <c:pt idx="12">
                    <c:v>Poetry of rural life</c:v>
                  </c:pt>
                  <c:pt idx="13">
                    <c:v>Romantic poetry</c:v>
                  </c:pt>
                  <c:pt idx="14">
                    <c:v>Romanticism</c:v>
                  </c:pt>
                  <c:pt idx="15">
                    <c:v>Sturm und Drang</c:v>
                  </c:pt>
                  <c:pt idx="16">
                    <c:v>Sufi poetry</c:v>
                  </c:pt>
                  <c:pt idx="17">
                    <c:v>Surrealism</c:v>
                  </c:pt>
                  <c:pt idx="20">
                    <c:v>Symbolism</c:v>
                  </c:pt>
                  <c:pt idx="21">
                    <c:v>Transcendentalism</c:v>
                  </c:pt>
                  <c:pt idx="22">
                    <c:v>Victorian poetry</c:v>
                  </c:pt>
                </c:lvl>
              </c:multiLvlStrCache>
            </c:multiLvlStrRef>
          </c:cat>
          <c:val>
            <c:numRef>
              <c:f>List2!$BC$15:$BC$38</c:f>
              <c:numCache>
                <c:formatCode>General</c:formatCode>
                <c:ptCount val="23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16</c:v>
                </c:pt>
                <c:pt idx="4">
                  <c:v>10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8</c:v>
                </c:pt>
                <c:pt idx="11">
                  <c:v>8</c:v>
                </c:pt>
                <c:pt idx="12">
                  <c:v>8</c:v>
                </c:pt>
                <c:pt idx="13">
                  <c:v>16</c:v>
                </c:pt>
                <c:pt idx="14">
                  <c:v>9</c:v>
                </c:pt>
                <c:pt idx="15">
                  <c:v>11</c:v>
                </c:pt>
                <c:pt idx="16">
                  <c:v>8</c:v>
                </c:pt>
                <c:pt idx="17">
                  <c:v>8</c:v>
                </c:pt>
                <c:pt idx="18">
                  <c:v>8</c:v>
                </c:pt>
                <c:pt idx="19">
                  <c:v>2</c:v>
                </c:pt>
                <c:pt idx="20">
                  <c:v>16</c:v>
                </c:pt>
                <c:pt idx="21">
                  <c:v>8</c:v>
                </c:pt>
                <c:pt idx="2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6A-48FE-8617-1A7999E77E8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861120079"/>
        <c:axId val="861121519"/>
      </c:barChart>
      <c:catAx>
        <c:axId val="86112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1121519"/>
        <c:crosses val="autoZero"/>
        <c:auto val="1"/>
        <c:lblAlgn val="ctr"/>
        <c:lblOffset val="100"/>
        <c:noMultiLvlLbl val="0"/>
      </c:catAx>
      <c:valAx>
        <c:axId val="86112151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6112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308528</xdr:colOff>
      <xdr:row>15</xdr:row>
      <xdr:rowOff>28990</xdr:rowOff>
    </xdr:from>
    <xdr:to>
      <xdr:col>51</xdr:col>
      <xdr:colOff>629065</xdr:colOff>
      <xdr:row>33</xdr:row>
      <xdr:rowOff>86140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D94E5AFE-3141-246C-0C85-80CDDD053E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52</xdr:col>
      <xdr:colOff>1258958</xdr:colOff>
      <xdr:row>10</xdr:row>
      <xdr:rowOff>140804</xdr:rowOff>
    </xdr:from>
    <xdr:to>
      <xdr:col>56</xdr:col>
      <xdr:colOff>1093305</xdr:colOff>
      <xdr:row>28</xdr:row>
      <xdr:rowOff>120926</xdr:rowOff>
    </xdr:to>
    <xdr:graphicFrame macro="">
      <xdr:nvGraphicFramePr>
        <xdr:cNvPr id="6" name="Graf 5">
          <a:extLst>
            <a:ext uri="{FF2B5EF4-FFF2-40B4-BE49-F238E27FC236}">
              <a16:creationId xmlns:a16="http://schemas.microsoft.com/office/drawing/2014/main" id="{FEFE82BF-0039-494C-56AA-BABD32D019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428625</xdr:colOff>
          <xdr:row>1</xdr:row>
          <xdr:rowOff>95250</xdr:rowOff>
        </xdr:from>
        <xdr:to>
          <xdr:col>14</xdr:col>
          <xdr:colOff>457200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tlačítko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nasjan, Garegin" refreshedDate="45585.53532210648" createdVersion="8" refreshedVersion="8" minRefreshableVersion="3" recordCount="209" xr:uid="{EEAAB2B6-9484-411E-B797-BA8027C16645}">
  <cacheSource type="worksheet">
    <worksheetSource ref="A1:H1048576" sheet="List2"/>
  </cacheSource>
  <cacheFields count="7">
    <cacheField name="First Name" numFmtId="0">
      <sharedItems containsBlank="1"/>
    </cacheField>
    <cacheField name="Last Name" numFmtId="0">
      <sharedItems containsBlank="1"/>
    </cacheField>
    <cacheField name="Year of Birth" numFmtId="0">
      <sharedItems containsString="0" containsBlank="1" containsNumber="1" containsInteger="1" minValue="1207" maxValue="2013" count="143">
        <n v="1265"/>
        <n v="1275"/>
        <n v="1285"/>
        <n v="1295"/>
        <n v="1207"/>
        <n v="1217"/>
        <n v="1227"/>
        <n v="1237"/>
        <n v="1247"/>
        <n v="1257"/>
        <n v="1267"/>
        <n v="1277"/>
        <n v="1305"/>
        <n v="1315"/>
        <n v="1325"/>
        <n v="1335"/>
        <n v="1343"/>
        <n v="1353"/>
        <n v="1363"/>
        <n v="1373"/>
        <n v="1383"/>
        <n v="1393"/>
        <n v="1403"/>
        <n v="1413"/>
        <n v="1644"/>
        <n v="1654"/>
        <n v="1664"/>
        <n v="1674"/>
        <n v="1684"/>
        <n v="1694"/>
        <n v="1704"/>
        <n v="1714"/>
        <n v="1788"/>
        <n v="1795"/>
        <n v="1798"/>
        <n v="1770"/>
        <n v="1780"/>
        <n v="1790"/>
        <n v="1749"/>
        <n v="1759"/>
        <n v="1769"/>
        <n v="1779"/>
        <n v="1789"/>
        <n v="1799"/>
        <n v="1854"/>
        <n v="1864"/>
        <n v="1874"/>
        <n v="1884"/>
        <n v="1894"/>
        <n v="1861"/>
        <n v="1871"/>
        <n v="1881"/>
        <n v="1891"/>
        <n v="1809"/>
        <n v="1819"/>
        <n v="1829"/>
        <n v="1839"/>
        <n v="1849"/>
        <n v="1859"/>
        <n v="1869"/>
        <n v="1879"/>
        <n v="1830"/>
        <n v="1840"/>
        <n v="1850"/>
        <n v="1860"/>
        <n v="1870"/>
        <n v="1880"/>
        <n v="1890"/>
        <n v="1882"/>
        <n v="1892"/>
        <n v="1805"/>
        <n v="1808"/>
        <n v="1815"/>
        <n v="1818"/>
        <n v="1825"/>
        <n v="1828"/>
        <n v="1835"/>
        <n v="1838"/>
        <n v="1845"/>
        <n v="1848"/>
        <n v="1855"/>
        <n v="1858"/>
        <n v="1865"/>
        <n v="1800"/>
        <n v="1810"/>
        <n v="1820"/>
        <n v="1898"/>
        <n v="1821"/>
        <n v="1831"/>
        <n v="1841"/>
        <n v="1851"/>
        <n v="1889"/>
        <n v="1806"/>
        <n v="1816"/>
        <n v="1826"/>
        <n v="1836"/>
        <n v="1846"/>
        <n v="1856"/>
        <n v="1866"/>
        <n v="1876"/>
        <n v="1904"/>
        <n v="1914"/>
        <n v="1924"/>
        <n v="1901"/>
        <n v="1911"/>
        <n v="1921"/>
        <n v="1931"/>
        <n v="1928"/>
        <n v="1938"/>
        <n v="1948"/>
        <n v="1958"/>
        <n v="1968"/>
        <n v="1978"/>
        <n v="1988"/>
        <n v="1998"/>
        <n v="1932"/>
        <n v="1942"/>
        <n v="1952"/>
        <n v="1962"/>
        <n v="1972"/>
        <n v="1982"/>
        <n v="1992"/>
        <n v="1943"/>
        <n v="1953"/>
        <n v="1963"/>
        <n v="1973"/>
        <n v="1983"/>
        <n v="1993"/>
        <n v="1902"/>
        <n v="1912"/>
        <n v="1922"/>
        <n v="1900"/>
        <n v="1934"/>
        <n v="1944"/>
        <n v="1908"/>
        <n v="1918"/>
        <n v="1954"/>
        <n v="1964"/>
        <n v="1974"/>
        <n v="2002"/>
        <n v="2003"/>
        <n v="2013"/>
        <m/>
      </sharedItems>
    </cacheField>
    <cacheField name="století" numFmtId="0">
      <sharedItems containsString="0" containsBlank="1" containsNumber="1" containsInteger="1" minValue="13" maxValue="23" count="10">
        <n v="13"/>
        <n v="14"/>
        <n v="15"/>
        <n v="17"/>
        <n v="18"/>
        <n v="19"/>
        <n v="20"/>
        <n v="21"/>
        <n v="23"/>
        <m/>
      </sharedItems>
    </cacheField>
    <cacheField name="Year of Death" numFmtId="0">
      <sharedItems containsString="0" containsBlank="1" containsNumber="1" containsInteger="1" minValue="1273" maxValue="2090"/>
    </cacheField>
    <cacheField name="Country of Origin" numFmtId="0">
      <sharedItems containsBlank="1" count="12">
        <s v="Italy"/>
        <s v="Persia"/>
        <s v="England"/>
        <s v="Japan"/>
        <s v="Germany"/>
        <s v="Ireland"/>
        <s v="India"/>
        <s v="United States"/>
        <s v="Spain"/>
        <s v="France"/>
        <s v="Chile"/>
        <m/>
      </sharedItems>
    </cacheField>
    <cacheField name="Genre" numFmtId="0">
      <sharedItems containsBlank="1" count="22">
        <s v="Epic poetry"/>
        <s v="Sufi poetry"/>
        <s v="Medieval poetry"/>
        <s v="Haiku"/>
        <s v="Romantic poetry"/>
        <s v="Romanticism"/>
        <s v="Sturm und Drang"/>
        <s v="Aestheticism"/>
        <s v="Bengali renaissance"/>
        <s v="Gothic fiction"/>
        <s v="Lyric poetry"/>
        <s v="Modern literature"/>
        <s v="Poetry of rural life"/>
        <s v="Surrealism"/>
        <s v="Symbolism"/>
        <s v="Transcendentalism"/>
        <s v="Victorian poetry"/>
        <s v="Civil Rights Movement poetry"/>
        <s v="Confessional poetry"/>
        <s v="Contemporary poetry"/>
        <s v="Jazz poetry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nasjan, Garegin" refreshedDate="45585.560358449075" createdVersion="8" refreshedVersion="8" minRefreshableVersion="3" recordCount="200" xr:uid="{6B52C3FF-075B-4AE4-9DA9-29584E1DC1AE}">
  <cacheSource type="worksheet">
    <worksheetSource ref="A1:G201" sheet="poets_dataset"/>
  </cacheSource>
  <cacheFields count="7">
    <cacheField name="First Name" numFmtId="0">
      <sharedItems/>
    </cacheField>
    <cacheField name="Last Name" numFmtId="0">
      <sharedItems count="25">
        <s v="Alighieri"/>
        <s v="Jalaluddin"/>
        <s v="Chaucer"/>
        <s v="Basho"/>
        <s v="Byron"/>
        <s v="Keats"/>
        <s v="Wordsworth"/>
        <s v="Goethe"/>
        <s v="Wilde"/>
        <s v="Tagore"/>
        <s v="Allan Poe"/>
        <s v="Dickinson"/>
        <s v="Woolf"/>
        <s v="Frost"/>
        <s v="GarcĂ­a Lorca"/>
        <s v="Baudelaire"/>
        <s v="Rimbaud"/>
        <s v="Whitman"/>
        <s v="Barrett Browning"/>
        <s v="Angelou"/>
        <s v="Sexton"/>
        <s v="Plath"/>
        <s v="GlĂĽck"/>
        <s v="Hughes"/>
        <s v="Neruda"/>
      </sharedItems>
    </cacheField>
    <cacheField name="Year of Birth" numFmtId="0">
      <sharedItems containsSemiMixedTypes="0" containsString="0" containsNumber="1" containsInteger="1" minValue="1207" maxValue="2013"/>
    </cacheField>
    <cacheField name="století" numFmtId="0">
      <sharedItems containsSemiMixedTypes="0" containsString="0" containsNumber="1" containsInteger="1" minValue="13" maxValue="21" count="8">
        <n v="13"/>
        <n v="14"/>
        <n v="15"/>
        <n v="17"/>
        <n v="18"/>
        <n v="19"/>
        <n v="20"/>
        <n v="21"/>
      </sharedItems>
    </cacheField>
    <cacheField name="Year of Death" numFmtId="0">
      <sharedItems containsSemiMixedTypes="0" containsString="0" containsNumber="1" containsInteger="1" minValue="1273" maxValue="2090"/>
    </cacheField>
    <cacheField name="Country of Origin" numFmtId="0">
      <sharedItems/>
    </cacheField>
    <cacheField name="Genr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9">
  <r>
    <s v="Dante"/>
    <s v="Alighieri"/>
    <x v="0"/>
    <x v="0"/>
    <n v="1321"/>
    <x v="0"/>
    <x v="0"/>
  </r>
  <r>
    <s v="Dante"/>
    <s v="Alighieri"/>
    <x v="1"/>
    <x v="0"/>
    <n v="1331"/>
    <x v="0"/>
    <x v="0"/>
  </r>
  <r>
    <s v="Dante"/>
    <s v="Alighieri"/>
    <x v="2"/>
    <x v="0"/>
    <n v="1341"/>
    <x v="0"/>
    <x v="0"/>
  </r>
  <r>
    <s v="Dante"/>
    <s v="Alighieri"/>
    <x v="3"/>
    <x v="0"/>
    <n v="1351"/>
    <x v="0"/>
    <x v="0"/>
  </r>
  <r>
    <s v="Rumi"/>
    <s v="Jalaluddin"/>
    <x v="4"/>
    <x v="0"/>
    <n v="1273"/>
    <x v="1"/>
    <x v="1"/>
  </r>
  <r>
    <s v="Rumi"/>
    <s v="Jalaluddin"/>
    <x v="5"/>
    <x v="0"/>
    <n v="1283"/>
    <x v="1"/>
    <x v="1"/>
  </r>
  <r>
    <s v="Rumi"/>
    <s v="Jalaluddin"/>
    <x v="6"/>
    <x v="0"/>
    <n v="1293"/>
    <x v="1"/>
    <x v="1"/>
  </r>
  <r>
    <s v="Rumi"/>
    <s v="Jalaluddin"/>
    <x v="7"/>
    <x v="0"/>
    <n v="1303"/>
    <x v="1"/>
    <x v="1"/>
  </r>
  <r>
    <s v="Rumi"/>
    <s v="Jalaluddin"/>
    <x v="8"/>
    <x v="0"/>
    <n v="1313"/>
    <x v="1"/>
    <x v="1"/>
  </r>
  <r>
    <s v="Rumi"/>
    <s v="Jalaluddin"/>
    <x v="9"/>
    <x v="0"/>
    <n v="1323"/>
    <x v="1"/>
    <x v="1"/>
  </r>
  <r>
    <s v="Rumi"/>
    <s v="Jalaluddin"/>
    <x v="10"/>
    <x v="0"/>
    <n v="1333"/>
    <x v="1"/>
    <x v="1"/>
  </r>
  <r>
    <s v="Rumi"/>
    <s v="Jalaluddin"/>
    <x v="11"/>
    <x v="0"/>
    <n v="1343"/>
    <x v="1"/>
    <x v="1"/>
  </r>
  <r>
    <s v="Dante"/>
    <s v="Alighieri"/>
    <x v="12"/>
    <x v="1"/>
    <n v="1361"/>
    <x v="0"/>
    <x v="0"/>
  </r>
  <r>
    <s v="Dante"/>
    <s v="Alighieri"/>
    <x v="13"/>
    <x v="1"/>
    <n v="1371"/>
    <x v="0"/>
    <x v="0"/>
  </r>
  <r>
    <s v="Dante"/>
    <s v="Alighieri"/>
    <x v="14"/>
    <x v="1"/>
    <n v="1381"/>
    <x v="0"/>
    <x v="0"/>
  </r>
  <r>
    <s v="Dante"/>
    <s v="Alighieri"/>
    <x v="15"/>
    <x v="1"/>
    <n v="1391"/>
    <x v="0"/>
    <x v="0"/>
  </r>
  <r>
    <s v="Geoffrey"/>
    <s v="Chaucer"/>
    <x v="16"/>
    <x v="1"/>
    <n v="1400"/>
    <x v="2"/>
    <x v="2"/>
  </r>
  <r>
    <s v="Geoffrey"/>
    <s v="Chaucer"/>
    <x v="17"/>
    <x v="1"/>
    <n v="1410"/>
    <x v="2"/>
    <x v="2"/>
  </r>
  <r>
    <s v="Geoffrey"/>
    <s v="Chaucer"/>
    <x v="18"/>
    <x v="1"/>
    <n v="1420"/>
    <x v="2"/>
    <x v="2"/>
  </r>
  <r>
    <s v="Geoffrey"/>
    <s v="Chaucer"/>
    <x v="19"/>
    <x v="1"/>
    <n v="1430"/>
    <x v="2"/>
    <x v="2"/>
  </r>
  <r>
    <s v="Geoffrey"/>
    <s v="Chaucer"/>
    <x v="20"/>
    <x v="1"/>
    <n v="1440"/>
    <x v="2"/>
    <x v="2"/>
  </r>
  <r>
    <s v="Geoffrey"/>
    <s v="Chaucer"/>
    <x v="21"/>
    <x v="1"/>
    <n v="1450"/>
    <x v="2"/>
    <x v="2"/>
  </r>
  <r>
    <s v="Geoffrey"/>
    <s v="Chaucer"/>
    <x v="22"/>
    <x v="2"/>
    <n v="1460"/>
    <x v="2"/>
    <x v="2"/>
  </r>
  <r>
    <s v="Geoffrey"/>
    <s v="Chaucer"/>
    <x v="23"/>
    <x v="2"/>
    <n v="1470"/>
    <x v="2"/>
    <x v="2"/>
  </r>
  <r>
    <s v="Matsuo"/>
    <s v="Basho"/>
    <x v="24"/>
    <x v="3"/>
    <n v="1694"/>
    <x v="3"/>
    <x v="3"/>
  </r>
  <r>
    <s v="Matsuo"/>
    <s v="Basho"/>
    <x v="25"/>
    <x v="3"/>
    <n v="1704"/>
    <x v="3"/>
    <x v="3"/>
  </r>
  <r>
    <s v="Matsuo"/>
    <s v="Basho"/>
    <x v="26"/>
    <x v="3"/>
    <n v="1714"/>
    <x v="3"/>
    <x v="3"/>
  </r>
  <r>
    <s v="Matsuo"/>
    <s v="Basho"/>
    <x v="27"/>
    <x v="3"/>
    <n v="1724"/>
    <x v="3"/>
    <x v="3"/>
  </r>
  <r>
    <s v="Matsuo"/>
    <s v="Basho"/>
    <x v="28"/>
    <x v="3"/>
    <n v="1734"/>
    <x v="3"/>
    <x v="3"/>
  </r>
  <r>
    <s v="Matsuo"/>
    <s v="Basho"/>
    <x v="29"/>
    <x v="3"/>
    <n v="1744"/>
    <x v="3"/>
    <x v="3"/>
  </r>
  <r>
    <s v="Matsuo"/>
    <s v="Basho"/>
    <x v="30"/>
    <x v="4"/>
    <n v="1754"/>
    <x v="3"/>
    <x v="3"/>
  </r>
  <r>
    <s v="Matsuo"/>
    <s v="Basho"/>
    <x v="31"/>
    <x v="4"/>
    <n v="1764"/>
    <x v="3"/>
    <x v="3"/>
  </r>
  <r>
    <s v="Lord"/>
    <s v="Byron"/>
    <x v="32"/>
    <x v="4"/>
    <n v="1824"/>
    <x v="2"/>
    <x v="4"/>
  </r>
  <r>
    <s v="John"/>
    <s v="Keats"/>
    <x v="33"/>
    <x v="4"/>
    <n v="1821"/>
    <x v="2"/>
    <x v="4"/>
  </r>
  <r>
    <s v="Lord"/>
    <s v="Byron"/>
    <x v="34"/>
    <x v="4"/>
    <n v="1834"/>
    <x v="2"/>
    <x v="4"/>
  </r>
  <r>
    <s v="William"/>
    <s v="Wordsworth"/>
    <x v="35"/>
    <x v="4"/>
    <n v="1850"/>
    <x v="2"/>
    <x v="5"/>
  </r>
  <r>
    <s v="William"/>
    <s v="Wordsworth"/>
    <x v="36"/>
    <x v="4"/>
    <n v="1860"/>
    <x v="2"/>
    <x v="5"/>
  </r>
  <r>
    <s v="William"/>
    <s v="Wordsworth"/>
    <x v="37"/>
    <x v="4"/>
    <n v="1870"/>
    <x v="2"/>
    <x v="5"/>
  </r>
  <r>
    <s v="Johann"/>
    <s v="Goethe"/>
    <x v="38"/>
    <x v="4"/>
    <n v="1832"/>
    <x v="4"/>
    <x v="6"/>
  </r>
  <r>
    <s v="Johann"/>
    <s v="Goethe"/>
    <x v="39"/>
    <x v="4"/>
    <n v="1842"/>
    <x v="4"/>
    <x v="6"/>
  </r>
  <r>
    <s v="Johann"/>
    <s v="Goethe"/>
    <x v="40"/>
    <x v="4"/>
    <n v="1852"/>
    <x v="4"/>
    <x v="6"/>
  </r>
  <r>
    <s v="Johann"/>
    <s v="Goethe"/>
    <x v="41"/>
    <x v="4"/>
    <n v="1862"/>
    <x v="4"/>
    <x v="6"/>
  </r>
  <r>
    <s v="Johann"/>
    <s v="Goethe"/>
    <x v="42"/>
    <x v="4"/>
    <n v="1872"/>
    <x v="4"/>
    <x v="6"/>
  </r>
  <r>
    <s v="Johann"/>
    <s v="Goethe"/>
    <x v="43"/>
    <x v="4"/>
    <n v="1882"/>
    <x v="4"/>
    <x v="6"/>
  </r>
  <r>
    <s v="Oscar"/>
    <s v="Wilde"/>
    <x v="44"/>
    <x v="5"/>
    <n v="1900"/>
    <x v="5"/>
    <x v="7"/>
  </r>
  <r>
    <s v="Oscar"/>
    <s v="Wilde"/>
    <x v="45"/>
    <x v="5"/>
    <n v="1910"/>
    <x v="5"/>
    <x v="7"/>
  </r>
  <r>
    <s v="Oscar"/>
    <s v="Wilde"/>
    <x v="46"/>
    <x v="5"/>
    <n v="1920"/>
    <x v="5"/>
    <x v="7"/>
  </r>
  <r>
    <s v="Oscar"/>
    <s v="Wilde"/>
    <x v="47"/>
    <x v="5"/>
    <n v="1930"/>
    <x v="5"/>
    <x v="7"/>
  </r>
  <r>
    <s v="Oscar"/>
    <s v="Wilde"/>
    <x v="48"/>
    <x v="5"/>
    <n v="1940"/>
    <x v="5"/>
    <x v="7"/>
  </r>
  <r>
    <s v="Rabindranath"/>
    <s v="Tagore"/>
    <x v="49"/>
    <x v="5"/>
    <n v="1941"/>
    <x v="6"/>
    <x v="8"/>
  </r>
  <r>
    <s v="Rabindranath"/>
    <s v="Tagore"/>
    <x v="50"/>
    <x v="5"/>
    <n v="1951"/>
    <x v="6"/>
    <x v="8"/>
  </r>
  <r>
    <s v="Rabindranath"/>
    <s v="Tagore"/>
    <x v="51"/>
    <x v="5"/>
    <n v="1961"/>
    <x v="6"/>
    <x v="8"/>
  </r>
  <r>
    <s v="Rabindranath"/>
    <s v="Tagore"/>
    <x v="52"/>
    <x v="5"/>
    <n v="1971"/>
    <x v="6"/>
    <x v="8"/>
  </r>
  <r>
    <s v="Edgar"/>
    <s v="Allan Poe"/>
    <x v="53"/>
    <x v="5"/>
    <n v="1849"/>
    <x v="7"/>
    <x v="9"/>
  </r>
  <r>
    <s v="Edgar"/>
    <s v="Allan Poe"/>
    <x v="54"/>
    <x v="5"/>
    <n v="1859"/>
    <x v="7"/>
    <x v="9"/>
  </r>
  <r>
    <s v="Edgar"/>
    <s v="Allan Poe"/>
    <x v="55"/>
    <x v="5"/>
    <n v="1869"/>
    <x v="7"/>
    <x v="9"/>
  </r>
  <r>
    <s v="Edgar"/>
    <s v="Allan Poe"/>
    <x v="56"/>
    <x v="5"/>
    <n v="1879"/>
    <x v="7"/>
    <x v="9"/>
  </r>
  <r>
    <s v="Edgar"/>
    <s v="Allan Poe"/>
    <x v="57"/>
    <x v="5"/>
    <n v="1889"/>
    <x v="7"/>
    <x v="9"/>
  </r>
  <r>
    <s v="Edgar"/>
    <s v="Allan Poe"/>
    <x v="58"/>
    <x v="5"/>
    <n v="1899"/>
    <x v="7"/>
    <x v="9"/>
  </r>
  <r>
    <s v="Edgar"/>
    <s v="Allan Poe"/>
    <x v="59"/>
    <x v="5"/>
    <n v="1909"/>
    <x v="7"/>
    <x v="9"/>
  </r>
  <r>
    <s v="Edgar"/>
    <s v="Allan Poe"/>
    <x v="60"/>
    <x v="5"/>
    <n v="1919"/>
    <x v="7"/>
    <x v="9"/>
  </r>
  <r>
    <s v="Emily"/>
    <s v="Dickinson"/>
    <x v="61"/>
    <x v="5"/>
    <n v="1886"/>
    <x v="7"/>
    <x v="10"/>
  </r>
  <r>
    <s v="Emily"/>
    <s v="Dickinson"/>
    <x v="62"/>
    <x v="5"/>
    <n v="1896"/>
    <x v="7"/>
    <x v="10"/>
  </r>
  <r>
    <s v="Emily"/>
    <s v="Dickinson"/>
    <x v="63"/>
    <x v="5"/>
    <n v="1906"/>
    <x v="7"/>
    <x v="10"/>
  </r>
  <r>
    <s v="Emily"/>
    <s v="Dickinson"/>
    <x v="64"/>
    <x v="5"/>
    <n v="1916"/>
    <x v="7"/>
    <x v="10"/>
  </r>
  <r>
    <s v="Emily"/>
    <s v="Dickinson"/>
    <x v="65"/>
    <x v="5"/>
    <n v="1926"/>
    <x v="7"/>
    <x v="10"/>
  </r>
  <r>
    <s v="Emily"/>
    <s v="Dickinson"/>
    <x v="66"/>
    <x v="5"/>
    <n v="1936"/>
    <x v="7"/>
    <x v="10"/>
  </r>
  <r>
    <s v="Emily"/>
    <s v="Dickinson"/>
    <x v="67"/>
    <x v="5"/>
    <n v="1946"/>
    <x v="7"/>
    <x v="10"/>
  </r>
  <r>
    <s v="Virginia"/>
    <s v="Woolf"/>
    <x v="68"/>
    <x v="5"/>
    <n v="1941"/>
    <x v="2"/>
    <x v="11"/>
  </r>
  <r>
    <s v="Virginia"/>
    <s v="Woolf"/>
    <x v="69"/>
    <x v="5"/>
    <n v="1951"/>
    <x v="2"/>
    <x v="11"/>
  </r>
  <r>
    <s v="Robert"/>
    <s v="Frost"/>
    <x v="46"/>
    <x v="5"/>
    <n v="1963"/>
    <x v="7"/>
    <x v="12"/>
  </r>
  <r>
    <s v="Robert"/>
    <s v="Frost"/>
    <x v="47"/>
    <x v="5"/>
    <n v="1973"/>
    <x v="7"/>
    <x v="12"/>
  </r>
  <r>
    <s v="Robert"/>
    <s v="Frost"/>
    <x v="48"/>
    <x v="5"/>
    <n v="1983"/>
    <x v="7"/>
    <x v="12"/>
  </r>
  <r>
    <s v="John"/>
    <s v="Keats"/>
    <x v="70"/>
    <x v="5"/>
    <n v="1831"/>
    <x v="2"/>
    <x v="4"/>
  </r>
  <r>
    <s v="Lord"/>
    <s v="Byron"/>
    <x v="71"/>
    <x v="5"/>
    <n v="1844"/>
    <x v="2"/>
    <x v="4"/>
  </r>
  <r>
    <s v="John"/>
    <s v="Keats"/>
    <x v="72"/>
    <x v="5"/>
    <n v="1841"/>
    <x v="2"/>
    <x v="4"/>
  </r>
  <r>
    <s v="Lord"/>
    <s v="Byron"/>
    <x v="73"/>
    <x v="5"/>
    <n v="1854"/>
    <x v="2"/>
    <x v="4"/>
  </r>
  <r>
    <s v="John"/>
    <s v="Keats"/>
    <x v="74"/>
    <x v="5"/>
    <n v="1851"/>
    <x v="2"/>
    <x v="4"/>
  </r>
  <r>
    <s v="Lord"/>
    <s v="Byron"/>
    <x v="75"/>
    <x v="5"/>
    <n v="1864"/>
    <x v="2"/>
    <x v="4"/>
  </r>
  <r>
    <s v="John"/>
    <s v="Keats"/>
    <x v="76"/>
    <x v="5"/>
    <n v="1861"/>
    <x v="2"/>
    <x v="4"/>
  </r>
  <r>
    <s v="Lord"/>
    <s v="Byron"/>
    <x v="77"/>
    <x v="5"/>
    <n v="1874"/>
    <x v="2"/>
    <x v="4"/>
  </r>
  <r>
    <s v="John"/>
    <s v="Keats"/>
    <x v="78"/>
    <x v="5"/>
    <n v="1871"/>
    <x v="2"/>
    <x v="4"/>
  </r>
  <r>
    <s v="Lord"/>
    <s v="Byron"/>
    <x v="79"/>
    <x v="5"/>
    <n v="1884"/>
    <x v="2"/>
    <x v="4"/>
  </r>
  <r>
    <s v="John"/>
    <s v="Keats"/>
    <x v="80"/>
    <x v="5"/>
    <n v="1881"/>
    <x v="2"/>
    <x v="4"/>
  </r>
  <r>
    <s v="Lord"/>
    <s v="Byron"/>
    <x v="81"/>
    <x v="5"/>
    <n v="1894"/>
    <x v="2"/>
    <x v="4"/>
  </r>
  <r>
    <s v="John"/>
    <s v="Keats"/>
    <x v="82"/>
    <x v="5"/>
    <n v="1891"/>
    <x v="2"/>
    <x v="4"/>
  </r>
  <r>
    <s v="William"/>
    <s v="Wordsworth"/>
    <x v="83"/>
    <x v="5"/>
    <n v="1880"/>
    <x v="2"/>
    <x v="5"/>
  </r>
  <r>
    <s v="William"/>
    <s v="Wordsworth"/>
    <x v="84"/>
    <x v="5"/>
    <n v="1890"/>
    <x v="2"/>
    <x v="5"/>
  </r>
  <r>
    <s v="William"/>
    <s v="Wordsworth"/>
    <x v="85"/>
    <x v="5"/>
    <n v="1900"/>
    <x v="2"/>
    <x v="5"/>
  </r>
  <r>
    <s v="William"/>
    <s v="Wordsworth"/>
    <x v="61"/>
    <x v="5"/>
    <n v="1910"/>
    <x v="2"/>
    <x v="5"/>
  </r>
  <r>
    <s v="William"/>
    <s v="Wordsworth"/>
    <x v="62"/>
    <x v="5"/>
    <n v="1920"/>
    <x v="2"/>
    <x v="5"/>
  </r>
  <r>
    <s v="Johann"/>
    <s v="Goethe"/>
    <x v="53"/>
    <x v="5"/>
    <n v="1892"/>
    <x v="4"/>
    <x v="6"/>
  </r>
  <r>
    <s v="Johann"/>
    <s v="Goethe"/>
    <x v="54"/>
    <x v="5"/>
    <n v="1902"/>
    <x v="4"/>
    <x v="6"/>
  </r>
  <r>
    <s v="Federico"/>
    <s v="GarcĂ­a Lorca"/>
    <x v="86"/>
    <x v="5"/>
    <n v="1936"/>
    <x v="8"/>
    <x v="13"/>
  </r>
  <r>
    <s v="Charles"/>
    <s v="Baudelaire"/>
    <x v="87"/>
    <x v="5"/>
    <n v="1867"/>
    <x v="9"/>
    <x v="14"/>
  </r>
  <r>
    <s v="Charles"/>
    <s v="Baudelaire"/>
    <x v="88"/>
    <x v="5"/>
    <n v="1877"/>
    <x v="9"/>
    <x v="14"/>
  </r>
  <r>
    <s v="Charles"/>
    <s v="Baudelaire"/>
    <x v="89"/>
    <x v="5"/>
    <n v="1887"/>
    <x v="9"/>
    <x v="14"/>
  </r>
  <r>
    <s v="Charles"/>
    <s v="Baudelaire"/>
    <x v="90"/>
    <x v="5"/>
    <n v="1897"/>
    <x v="9"/>
    <x v="14"/>
  </r>
  <r>
    <s v="Arthur"/>
    <s v="Rimbaud"/>
    <x v="44"/>
    <x v="5"/>
    <n v="1891"/>
    <x v="9"/>
    <x v="14"/>
  </r>
  <r>
    <s v="Charles"/>
    <s v="Baudelaire"/>
    <x v="49"/>
    <x v="5"/>
    <n v="1907"/>
    <x v="9"/>
    <x v="14"/>
  </r>
  <r>
    <s v="Arthur"/>
    <s v="Rimbaud"/>
    <x v="45"/>
    <x v="5"/>
    <n v="1901"/>
    <x v="9"/>
    <x v="14"/>
  </r>
  <r>
    <s v="Charles"/>
    <s v="Baudelaire"/>
    <x v="50"/>
    <x v="5"/>
    <n v="1917"/>
    <x v="9"/>
    <x v="14"/>
  </r>
  <r>
    <s v="Arthur"/>
    <s v="Rimbaud"/>
    <x v="46"/>
    <x v="5"/>
    <n v="1911"/>
    <x v="9"/>
    <x v="14"/>
  </r>
  <r>
    <s v="Charles"/>
    <s v="Baudelaire"/>
    <x v="51"/>
    <x v="5"/>
    <n v="1927"/>
    <x v="9"/>
    <x v="14"/>
  </r>
  <r>
    <s v="Arthur"/>
    <s v="Rimbaud"/>
    <x v="47"/>
    <x v="5"/>
    <n v="1921"/>
    <x v="9"/>
    <x v="14"/>
  </r>
  <r>
    <s v="Charles"/>
    <s v="Baudelaire"/>
    <x v="52"/>
    <x v="5"/>
    <n v="1937"/>
    <x v="9"/>
    <x v="14"/>
  </r>
  <r>
    <s v="Arthur"/>
    <s v="Rimbaud"/>
    <x v="48"/>
    <x v="5"/>
    <n v="1931"/>
    <x v="9"/>
    <x v="14"/>
  </r>
  <r>
    <s v="Walt"/>
    <s v="Whitman"/>
    <x v="54"/>
    <x v="5"/>
    <n v="1892"/>
    <x v="7"/>
    <x v="15"/>
  </r>
  <r>
    <s v="Walt"/>
    <s v="Whitman"/>
    <x v="55"/>
    <x v="5"/>
    <n v="1902"/>
    <x v="7"/>
    <x v="15"/>
  </r>
  <r>
    <s v="Walt"/>
    <s v="Whitman"/>
    <x v="56"/>
    <x v="5"/>
    <n v="1912"/>
    <x v="7"/>
    <x v="15"/>
  </r>
  <r>
    <s v="Walt"/>
    <s v="Whitman"/>
    <x v="57"/>
    <x v="5"/>
    <n v="1922"/>
    <x v="7"/>
    <x v="15"/>
  </r>
  <r>
    <s v="Walt"/>
    <s v="Whitman"/>
    <x v="58"/>
    <x v="5"/>
    <n v="1932"/>
    <x v="7"/>
    <x v="15"/>
  </r>
  <r>
    <s v="Walt"/>
    <s v="Whitman"/>
    <x v="59"/>
    <x v="5"/>
    <n v="1942"/>
    <x v="7"/>
    <x v="15"/>
  </r>
  <r>
    <s v="Walt"/>
    <s v="Whitman"/>
    <x v="60"/>
    <x v="5"/>
    <n v="1952"/>
    <x v="7"/>
    <x v="15"/>
  </r>
  <r>
    <s v="Walt"/>
    <s v="Whitman"/>
    <x v="91"/>
    <x v="5"/>
    <n v="1962"/>
    <x v="7"/>
    <x v="15"/>
  </r>
  <r>
    <s v="Elizabeth"/>
    <s v="Barrett Browning"/>
    <x v="92"/>
    <x v="5"/>
    <n v="1861"/>
    <x v="2"/>
    <x v="16"/>
  </r>
  <r>
    <s v="Elizabeth"/>
    <s v="Barrett Browning"/>
    <x v="93"/>
    <x v="5"/>
    <n v="1871"/>
    <x v="2"/>
    <x v="16"/>
  </r>
  <r>
    <s v="Elizabeth"/>
    <s v="Barrett Browning"/>
    <x v="94"/>
    <x v="5"/>
    <n v="1881"/>
    <x v="2"/>
    <x v="16"/>
  </r>
  <r>
    <s v="Elizabeth"/>
    <s v="Barrett Browning"/>
    <x v="95"/>
    <x v="5"/>
    <n v="1891"/>
    <x v="2"/>
    <x v="16"/>
  </r>
  <r>
    <s v="Elizabeth"/>
    <s v="Barrett Browning"/>
    <x v="96"/>
    <x v="5"/>
    <n v="1901"/>
    <x v="2"/>
    <x v="16"/>
  </r>
  <r>
    <s v="Elizabeth"/>
    <s v="Barrett Browning"/>
    <x v="97"/>
    <x v="5"/>
    <n v="1911"/>
    <x v="2"/>
    <x v="16"/>
  </r>
  <r>
    <s v="Elizabeth"/>
    <s v="Barrett Browning"/>
    <x v="98"/>
    <x v="5"/>
    <n v="1921"/>
    <x v="2"/>
    <x v="16"/>
  </r>
  <r>
    <s v="Elizabeth"/>
    <s v="Barrett Browning"/>
    <x v="99"/>
    <x v="5"/>
    <n v="1931"/>
    <x v="2"/>
    <x v="16"/>
  </r>
  <r>
    <s v="Oscar"/>
    <s v="Wilde"/>
    <x v="100"/>
    <x v="6"/>
    <n v="1950"/>
    <x v="5"/>
    <x v="7"/>
  </r>
  <r>
    <s v="Oscar"/>
    <s v="Wilde"/>
    <x v="101"/>
    <x v="6"/>
    <n v="1960"/>
    <x v="5"/>
    <x v="7"/>
  </r>
  <r>
    <s v="Oscar"/>
    <s v="Wilde"/>
    <x v="102"/>
    <x v="6"/>
    <n v="1970"/>
    <x v="5"/>
    <x v="7"/>
  </r>
  <r>
    <s v="Rabindranath"/>
    <s v="Tagore"/>
    <x v="103"/>
    <x v="6"/>
    <n v="1981"/>
    <x v="6"/>
    <x v="8"/>
  </r>
  <r>
    <s v="Rabindranath"/>
    <s v="Tagore"/>
    <x v="104"/>
    <x v="6"/>
    <n v="1991"/>
    <x v="6"/>
    <x v="8"/>
  </r>
  <r>
    <s v="Rabindranath"/>
    <s v="Tagore"/>
    <x v="105"/>
    <x v="6"/>
    <n v="2001"/>
    <x v="6"/>
    <x v="8"/>
  </r>
  <r>
    <s v="Rabindranath"/>
    <s v="Tagore"/>
    <x v="106"/>
    <x v="6"/>
    <n v="2011"/>
    <x v="6"/>
    <x v="8"/>
  </r>
  <r>
    <s v="Maya"/>
    <s v="Angelou"/>
    <x v="107"/>
    <x v="6"/>
    <n v="2014"/>
    <x v="7"/>
    <x v="17"/>
  </r>
  <r>
    <s v="Maya"/>
    <s v="Angelou"/>
    <x v="108"/>
    <x v="6"/>
    <n v="2024"/>
    <x v="7"/>
    <x v="17"/>
  </r>
  <r>
    <s v="Maya"/>
    <s v="Angelou"/>
    <x v="109"/>
    <x v="6"/>
    <n v="2034"/>
    <x v="7"/>
    <x v="17"/>
  </r>
  <r>
    <s v="Maya"/>
    <s v="Angelou"/>
    <x v="110"/>
    <x v="6"/>
    <n v="2044"/>
    <x v="7"/>
    <x v="17"/>
  </r>
  <r>
    <s v="Maya"/>
    <s v="Angelou"/>
    <x v="111"/>
    <x v="6"/>
    <n v="2054"/>
    <x v="7"/>
    <x v="17"/>
  </r>
  <r>
    <s v="Maya"/>
    <s v="Angelou"/>
    <x v="112"/>
    <x v="6"/>
    <n v="2064"/>
    <x v="7"/>
    <x v="17"/>
  </r>
  <r>
    <s v="Maya"/>
    <s v="Angelou"/>
    <x v="113"/>
    <x v="6"/>
    <n v="2074"/>
    <x v="7"/>
    <x v="17"/>
  </r>
  <r>
    <s v="Maya"/>
    <s v="Angelou"/>
    <x v="114"/>
    <x v="6"/>
    <n v="2084"/>
    <x v="7"/>
    <x v="17"/>
  </r>
  <r>
    <s v="Anne"/>
    <s v="Sexton"/>
    <x v="107"/>
    <x v="6"/>
    <n v="1974"/>
    <x v="7"/>
    <x v="18"/>
  </r>
  <r>
    <s v="Sylvia"/>
    <s v="Plath"/>
    <x v="115"/>
    <x v="6"/>
    <n v="1963"/>
    <x v="7"/>
    <x v="18"/>
  </r>
  <r>
    <s v="Anne"/>
    <s v="Sexton"/>
    <x v="108"/>
    <x v="6"/>
    <n v="1984"/>
    <x v="7"/>
    <x v="18"/>
  </r>
  <r>
    <s v="Sylvia"/>
    <s v="Plath"/>
    <x v="116"/>
    <x v="6"/>
    <n v="1973"/>
    <x v="7"/>
    <x v="18"/>
  </r>
  <r>
    <s v="Anne"/>
    <s v="Sexton"/>
    <x v="109"/>
    <x v="6"/>
    <n v="1994"/>
    <x v="7"/>
    <x v="18"/>
  </r>
  <r>
    <s v="Sylvia"/>
    <s v="Plath"/>
    <x v="117"/>
    <x v="6"/>
    <n v="1983"/>
    <x v="7"/>
    <x v="18"/>
  </r>
  <r>
    <s v="Anne"/>
    <s v="Sexton"/>
    <x v="110"/>
    <x v="6"/>
    <n v="2004"/>
    <x v="7"/>
    <x v="18"/>
  </r>
  <r>
    <s v="Sylvia"/>
    <s v="Plath"/>
    <x v="118"/>
    <x v="6"/>
    <n v="1993"/>
    <x v="7"/>
    <x v="18"/>
  </r>
  <r>
    <s v="Anne"/>
    <s v="Sexton"/>
    <x v="111"/>
    <x v="6"/>
    <n v="2014"/>
    <x v="7"/>
    <x v="18"/>
  </r>
  <r>
    <s v="Sylvia"/>
    <s v="Plath"/>
    <x v="119"/>
    <x v="6"/>
    <n v="2003"/>
    <x v="7"/>
    <x v="18"/>
  </r>
  <r>
    <s v="Anne"/>
    <s v="Sexton"/>
    <x v="112"/>
    <x v="6"/>
    <n v="2024"/>
    <x v="7"/>
    <x v="18"/>
  </r>
  <r>
    <s v="Sylvia"/>
    <s v="Plath"/>
    <x v="120"/>
    <x v="6"/>
    <n v="2013"/>
    <x v="7"/>
    <x v="18"/>
  </r>
  <r>
    <s v="Anne"/>
    <s v="Sexton"/>
    <x v="113"/>
    <x v="6"/>
    <n v="2034"/>
    <x v="7"/>
    <x v="18"/>
  </r>
  <r>
    <s v="Sylvia"/>
    <s v="Plath"/>
    <x v="121"/>
    <x v="6"/>
    <n v="2023"/>
    <x v="7"/>
    <x v="18"/>
  </r>
  <r>
    <s v="Anne"/>
    <s v="Sexton"/>
    <x v="114"/>
    <x v="6"/>
    <n v="2044"/>
    <x v="7"/>
    <x v="18"/>
  </r>
  <r>
    <s v="Louise"/>
    <s v="GlĂĽck"/>
    <x v="122"/>
    <x v="6"/>
    <n v="2020"/>
    <x v="7"/>
    <x v="19"/>
  </r>
  <r>
    <s v="Louise"/>
    <s v="GlĂĽck"/>
    <x v="123"/>
    <x v="6"/>
    <n v="2030"/>
    <x v="7"/>
    <x v="19"/>
  </r>
  <r>
    <s v="Louise"/>
    <s v="GlĂĽck"/>
    <x v="124"/>
    <x v="6"/>
    <n v="2040"/>
    <x v="7"/>
    <x v="19"/>
  </r>
  <r>
    <s v="Louise"/>
    <s v="GlĂĽck"/>
    <x v="125"/>
    <x v="6"/>
    <n v="2050"/>
    <x v="7"/>
    <x v="19"/>
  </r>
  <r>
    <s v="Louise"/>
    <s v="GlĂĽck"/>
    <x v="126"/>
    <x v="6"/>
    <n v="2060"/>
    <x v="7"/>
    <x v="19"/>
  </r>
  <r>
    <s v="Louise"/>
    <s v="GlĂĽck"/>
    <x v="127"/>
    <x v="6"/>
    <n v="2070"/>
    <x v="7"/>
    <x v="19"/>
  </r>
  <r>
    <s v="Langston"/>
    <s v="Hughes"/>
    <x v="128"/>
    <x v="6"/>
    <n v="1967"/>
    <x v="7"/>
    <x v="20"/>
  </r>
  <r>
    <s v="Langston"/>
    <s v="Hughes"/>
    <x v="129"/>
    <x v="6"/>
    <n v="1977"/>
    <x v="7"/>
    <x v="20"/>
  </r>
  <r>
    <s v="Langston"/>
    <s v="Hughes"/>
    <x v="130"/>
    <x v="6"/>
    <n v="1987"/>
    <x v="7"/>
    <x v="20"/>
  </r>
  <r>
    <s v="Langston"/>
    <s v="Hughes"/>
    <x v="115"/>
    <x v="6"/>
    <n v="1997"/>
    <x v="7"/>
    <x v="20"/>
  </r>
  <r>
    <s v="Langston"/>
    <s v="Hughes"/>
    <x v="116"/>
    <x v="6"/>
    <n v="2007"/>
    <x v="7"/>
    <x v="20"/>
  </r>
  <r>
    <s v="Langston"/>
    <s v="Hughes"/>
    <x v="117"/>
    <x v="6"/>
    <n v="2017"/>
    <x v="7"/>
    <x v="20"/>
  </r>
  <r>
    <s v="Langston"/>
    <s v="Hughes"/>
    <x v="118"/>
    <x v="6"/>
    <n v="2027"/>
    <x v="7"/>
    <x v="20"/>
  </r>
  <r>
    <s v="Langston"/>
    <s v="Hughes"/>
    <x v="119"/>
    <x v="6"/>
    <n v="2037"/>
    <x v="7"/>
    <x v="20"/>
  </r>
  <r>
    <s v="Emily"/>
    <s v="Dickinson"/>
    <x v="131"/>
    <x v="6"/>
    <n v="1956"/>
    <x v="7"/>
    <x v="10"/>
  </r>
  <r>
    <s v="Virginia"/>
    <s v="Woolf"/>
    <x v="128"/>
    <x v="6"/>
    <n v="1961"/>
    <x v="2"/>
    <x v="11"/>
  </r>
  <r>
    <s v="Virginia"/>
    <s v="Woolf"/>
    <x v="129"/>
    <x v="6"/>
    <n v="1971"/>
    <x v="2"/>
    <x v="11"/>
  </r>
  <r>
    <s v="Virginia"/>
    <s v="Woolf"/>
    <x v="130"/>
    <x v="6"/>
    <n v="1981"/>
    <x v="2"/>
    <x v="11"/>
  </r>
  <r>
    <s v="Virginia"/>
    <s v="Woolf"/>
    <x v="115"/>
    <x v="6"/>
    <n v="1991"/>
    <x v="2"/>
    <x v="11"/>
  </r>
  <r>
    <s v="Virginia"/>
    <s v="Woolf"/>
    <x v="116"/>
    <x v="6"/>
    <n v="2001"/>
    <x v="2"/>
    <x v="11"/>
  </r>
  <r>
    <s v="Virginia"/>
    <s v="Woolf"/>
    <x v="117"/>
    <x v="6"/>
    <n v="2011"/>
    <x v="2"/>
    <x v="11"/>
  </r>
  <r>
    <s v="Robert"/>
    <s v="Frost"/>
    <x v="100"/>
    <x v="6"/>
    <n v="1993"/>
    <x v="7"/>
    <x v="12"/>
  </r>
  <r>
    <s v="Robert"/>
    <s v="Frost"/>
    <x v="101"/>
    <x v="6"/>
    <n v="2003"/>
    <x v="7"/>
    <x v="12"/>
  </r>
  <r>
    <s v="Robert"/>
    <s v="Frost"/>
    <x v="102"/>
    <x v="6"/>
    <n v="2013"/>
    <x v="7"/>
    <x v="12"/>
  </r>
  <r>
    <s v="Robert"/>
    <s v="Frost"/>
    <x v="132"/>
    <x v="6"/>
    <n v="2023"/>
    <x v="7"/>
    <x v="12"/>
  </r>
  <r>
    <s v="Robert"/>
    <s v="Frost"/>
    <x v="133"/>
    <x v="6"/>
    <n v="2033"/>
    <x v="7"/>
    <x v="12"/>
  </r>
  <r>
    <s v="Pablo"/>
    <s v="Neruda"/>
    <x v="100"/>
    <x v="6"/>
    <n v="1973"/>
    <x v="10"/>
    <x v="13"/>
  </r>
  <r>
    <s v="Federico"/>
    <s v="GarcĂ­a Lorca"/>
    <x v="134"/>
    <x v="6"/>
    <n v="1946"/>
    <x v="8"/>
    <x v="13"/>
  </r>
  <r>
    <s v="Pablo"/>
    <s v="Neruda"/>
    <x v="101"/>
    <x v="6"/>
    <n v="1983"/>
    <x v="10"/>
    <x v="13"/>
  </r>
  <r>
    <s v="Federico"/>
    <s v="GarcĂ­a Lorca"/>
    <x v="135"/>
    <x v="6"/>
    <n v="1956"/>
    <x v="8"/>
    <x v="13"/>
  </r>
  <r>
    <s v="Pablo"/>
    <s v="Neruda"/>
    <x v="102"/>
    <x v="6"/>
    <n v="1993"/>
    <x v="10"/>
    <x v="13"/>
  </r>
  <r>
    <s v="Federico"/>
    <s v="GarcĂ­a Lorca"/>
    <x v="107"/>
    <x v="6"/>
    <n v="1966"/>
    <x v="8"/>
    <x v="13"/>
  </r>
  <r>
    <s v="Pablo"/>
    <s v="Neruda"/>
    <x v="132"/>
    <x v="6"/>
    <n v="2003"/>
    <x v="10"/>
    <x v="13"/>
  </r>
  <r>
    <s v="Federico"/>
    <s v="GarcĂ­a Lorca"/>
    <x v="108"/>
    <x v="6"/>
    <n v="1976"/>
    <x v="8"/>
    <x v="13"/>
  </r>
  <r>
    <s v="Pablo"/>
    <s v="Neruda"/>
    <x v="133"/>
    <x v="6"/>
    <n v="2013"/>
    <x v="10"/>
    <x v="13"/>
  </r>
  <r>
    <s v="Federico"/>
    <s v="GarcĂ­a Lorca"/>
    <x v="109"/>
    <x v="6"/>
    <n v="1986"/>
    <x v="8"/>
    <x v="13"/>
  </r>
  <r>
    <s v="Pablo"/>
    <s v="Neruda"/>
    <x v="136"/>
    <x v="6"/>
    <n v="2023"/>
    <x v="10"/>
    <x v="13"/>
  </r>
  <r>
    <s v="Federico"/>
    <s v="GarcĂ­a Lorca"/>
    <x v="110"/>
    <x v="6"/>
    <n v="1996"/>
    <x v="8"/>
    <x v="13"/>
  </r>
  <r>
    <s v="Pablo"/>
    <s v="Neruda"/>
    <x v="137"/>
    <x v="6"/>
    <n v="2033"/>
    <x v="10"/>
    <x v="13"/>
  </r>
  <r>
    <s v="Federico"/>
    <s v="GarcĂ­a Lorca"/>
    <x v="111"/>
    <x v="6"/>
    <n v="2006"/>
    <x v="8"/>
    <x v="13"/>
  </r>
  <r>
    <s v="Pablo"/>
    <s v="Neruda"/>
    <x v="138"/>
    <x v="6"/>
    <n v="2043"/>
    <x v="10"/>
    <x v="13"/>
  </r>
  <r>
    <s v="Arthur"/>
    <s v="Rimbaud"/>
    <x v="100"/>
    <x v="6"/>
    <n v="1941"/>
    <x v="9"/>
    <x v="14"/>
  </r>
  <r>
    <s v="Arthur"/>
    <s v="Rimbaud"/>
    <x v="101"/>
    <x v="6"/>
    <n v="1951"/>
    <x v="9"/>
    <x v="14"/>
  </r>
  <r>
    <s v="Arthur"/>
    <s v="Rimbaud"/>
    <x v="102"/>
    <x v="6"/>
    <n v="1961"/>
    <x v="9"/>
    <x v="14"/>
  </r>
  <r>
    <s v="Sylvia"/>
    <s v="Plath"/>
    <x v="139"/>
    <x v="7"/>
    <n v="2033"/>
    <x v="7"/>
    <x v="18"/>
  </r>
  <r>
    <s v="Louise"/>
    <s v="GlĂĽck"/>
    <x v="140"/>
    <x v="7"/>
    <n v="2080"/>
    <x v="7"/>
    <x v="19"/>
  </r>
  <r>
    <s v="Louise"/>
    <s v="GlĂĽck"/>
    <x v="141"/>
    <x v="7"/>
    <n v="2090"/>
    <x v="7"/>
    <x v="19"/>
  </r>
  <r>
    <s v="Louise"/>
    <s v="GlĂĽck"/>
    <x v="140"/>
    <x v="8"/>
    <n v="2080"/>
    <x v="7"/>
    <x v="19"/>
  </r>
  <r>
    <s v="Louise"/>
    <s v="GlĂĽck"/>
    <x v="141"/>
    <x v="8"/>
    <n v="2090"/>
    <x v="7"/>
    <x v="19"/>
  </r>
  <r>
    <s v="William"/>
    <s v="Wordsworth"/>
    <x v="37"/>
    <x v="8"/>
    <n v="1870"/>
    <x v="2"/>
    <x v="5"/>
  </r>
  <r>
    <s v="Johann"/>
    <s v="Goethe"/>
    <x v="38"/>
    <x v="8"/>
    <n v="1832"/>
    <x v="4"/>
    <x v="13"/>
  </r>
  <r>
    <s v="Johann"/>
    <s v="Goethe"/>
    <x v="39"/>
    <x v="8"/>
    <n v="1842"/>
    <x v="4"/>
    <x v="13"/>
  </r>
  <r>
    <s v="Johann"/>
    <s v="Goethe"/>
    <x v="40"/>
    <x v="8"/>
    <n v="1852"/>
    <x v="4"/>
    <x v="6"/>
  </r>
  <r>
    <s v="Johann"/>
    <s v="Goethe"/>
    <x v="41"/>
    <x v="8"/>
    <n v="1862"/>
    <x v="4"/>
    <x v="6"/>
  </r>
  <r>
    <s v="Johann"/>
    <s v="Goethe"/>
    <x v="42"/>
    <x v="8"/>
    <n v="1872"/>
    <x v="4"/>
    <x v="6"/>
  </r>
  <r>
    <m/>
    <m/>
    <x v="142"/>
    <x v="9"/>
    <m/>
    <x v="11"/>
    <x v="2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0">
  <r>
    <s v="Dante"/>
    <x v="0"/>
    <n v="1265"/>
    <x v="0"/>
    <n v="1321"/>
    <s v="Italy"/>
    <s v="Epic poetry"/>
  </r>
  <r>
    <s v="Dante"/>
    <x v="0"/>
    <n v="1275"/>
    <x v="0"/>
    <n v="1331"/>
    <s v="Italy"/>
    <s v="Epic poetry"/>
  </r>
  <r>
    <s v="Dante"/>
    <x v="0"/>
    <n v="1285"/>
    <x v="0"/>
    <n v="1341"/>
    <s v="Italy"/>
    <s v="Epic poetry"/>
  </r>
  <r>
    <s v="Dante"/>
    <x v="0"/>
    <n v="1295"/>
    <x v="0"/>
    <n v="1351"/>
    <s v="Italy"/>
    <s v="Epic poetry"/>
  </r>
  <r>
    <s v="Rumi"/>
    <x v="1"/>
    <n v="1207"/>
    <x v="0"/>
    <n v="1273"/>
    <s v="Persia"/>
    <s v="Sufi poetry"/>
  </r>
  <r>
    <s v="Rumi"/>
    <x v="1"/>
    <n v="1217"/>
    <x v="0"/>
    <n v="1283"/>
    <s v="Persia"/>
    <s v="Sufi poetry"/>
  </r>
  <r>
    <s v="Rumi"/>
    <x v="1"/>
    <n v="1227"/>
    <x v="0"/>
    <n v="1293"/>
    <s v="Persia"/>
    <s v="Sufi poetry"/>
  </r>
  <r>
    <s v="Rumi"/>
    <x v="1"/>
    <n v="1237"/>
    <x v="0"/>
    <n v="1303"/>
    <s v="Persia"/>
    <s v="Sufi poetry"/>
  </r>
  <r>
    <s v="Rumi"/>
    <x v="1"/>
    <n v="1247"/>
    <x v="0"/>
    <n v="1313"/>
    <s v="Persia"/>
    <s v="Sufi poetry"/>
  </r>
  <r>
    <s v="Rumi"/>
    <x v="1"/>
    <n v="1257"/>
    <x v="0"/>
    <n v="1323"/>
    <s v="Persia"/>
    <s v="Sufi poetry"/>
  </r>
  <r>
    <s v="Rumi"/>
    <x v="1"/>
    <n v="1267"/>
    <x v="0"/>
    <n v="1333"/>
    <s v="Persia"/>
    <s v="Sufi poetry"/>
  </r>
  <r>
    <s v="Rumi"/>
    <x v="1"/>
    <n v="1277"/>
    <x v="0"/>
    <n v="1343"/>
    <s v="Persia"/>
    <s v="Sufi poetry"/>
  </r>
  <r>
    <s v="Dante"/>
    <x v="0"/>
    <n v="1305"/>
    <x v="1"/>
    <n v="1361"/>
    <s v="Italy"/>
    <s v="Epic poetry"/>
  </r>
  <r>
    <s v="Dante"/>
    <x v="0"/>
    <n v="1315"/>
    <x v="1"/>
    <n v="1371"/>
    <s v="Italy"/>
    <s v="Epic poetry"/>
  </r>
  <r>
    <s v="Dante"/>
    <x v="0"/>
    <n v="1325"/>
    <x v="1"/>
    <n v="1381"/>
    <s v="Italy"/>
    <s v="Epic poetry"/>
  </r>
  <r>
    <s v="Dante"/>
    <x v="0"/>
    <n v="1335"/>
    <x v="1"/>
    <n v="1391"/>
    <s v="Italy"/>
    <s v="Epic poetry"/>
  </r>
  <r>
    <s v="Geoffrey"/>
    <x v="2"/>
    <n v="1343"/>
    <x v="1"/>
    <n v="1400"/>
    <s v="England"/>
    <s v="Medieval poetry"/>
  </r>
  <r>
    <s v="Geoffrey"/>
    <x v="2"/>
    <n v="1353"/>
    <x v="1"/>
    <n v="1410"/>
    <s v="England"/>
    <s v="Medieval poetry"/>
  </r>
  <r>
    <s v="Geoffrey"/>
    <x v="2"/>
    <n v="1363"/>
    <x v="1"/>
    <n v="1420"/>
    <s v="England"/>
    <s v="Medieval poetry"/>
  </r>
  <r>
    <s v="Geoffrey"/>
    <x v="2"/>
    <n v="1373"/>
    <x v="1"/>
    <n v="1430"/>
    <s v="England"/>
    <s v="Medieval poetry"/>
  </r>
  <r>
    <s v="Geoffrey"/>
    <x v="2"/>
    <n v="1383"/>
    <x v="1"/>
    <n v="1440"/>
    <s v="England"/>
    <s v="Medieval poetry"/>
  </r>
  <r>
    <s v="Geoffrey"/>
    <x v="2"/>
    <n v="1393"/>
    <x v="1"/>
    <n v="1450"/>
    <s v="England"/>
    <s v="Medieval poetry"/>
  </r>
  <r>
    <s v="Geoffrey"/>
    <x v="2"/>
    <n v="1403"/>
    <x v="2"/>
    <n v="1460"/>
    <s v="England"/>
    <s v="Medieval poetry"/>
  </r>
  <r>
    <s v="Geoffrey"/>
    <x v="2"/>
    <n v="1413"/>
    <x v="2"/>
    <n v="1470"/>
    <s v="England"/>
    <s v="Medieval poetry"/>
  </r>
  <r>
    <s v="Matsuo"/>
    <x v="3"/>
    <n v="1644"/>
    <x v="3"/>
    <n v="1694"/>
    <s v="Japan"/>
    <s v="Haiku"/>
  </r>
  <r>
    <s v="Matsuo"/>
    <x v="3"/>
    <n v="1654"/>
    <x v="3"/>
    <n v="1704"/>
    <s v="Japan"/>
    <s v="Haiku"/>
  </r>
  <r>
    <s v="Matsuo"/>
    <x v="3"/>
    <n v="1664"/>
    <x v="3"/>
    <n v="1714"/>
    <s v="Japan"/>
    <s v="Haiku"/>
  </r>
  <r>
    <s v="Matsuo"/>
    <x v="3"/>
    <n v="1674"/>
    <x v="3"/>
    <n v="1724"/>
    <s v="Japan"/>
    <s v="Haiku"/>
  </r>
  <r>
    <s v="Matsuo"/>
    <x v="3"/>
    <n v="1684"/>
    <x v="3"/>
    <n v="1734"/>
    <s v="Japan"/>
    <s v="Haiku"/>
  </r>
  <r>
    <s v="Matsuo"/>
    <x v="3"/>
    <n v="1694"/>
    <x v="3"/>
    <n v="1744"/>
    <s v="Japan"/>
    <s v="Haiku"/>
  </r>
  <r>
    <s v="Matsuo"/>
    <x v="3"/>
    <n v="1704"/>
    <x v="4"/>
    <n v="1754"/>
    <s v="Japan"/>
    <s v="Haiku"/>
  </r>
  <r>
    <s v="Matsuo"/>
    <x v="3"/>
    <n v="1714"/>
    <x v="4"/>
    <n v="1764"/>
    <s v="Japan"/>
    <s v="Haiku"/>
  </r>
  <r>
    <s v="Lord"/>
    <x v="4"/>
    <n v="1788"/>
    <x v="4"/>
    <n v="1824"/>
    <s v="England"/>
    <s v="Romantic poetry"/>
  </r>
  <r>
    <s v="John"/>
    <x v="5"/>
    <n v="1795"/>
    <x v="4"/>
    <n v="1821"/>
    <s v="England"/>
    <s v="Romantic poetry"/>
  </r>
  <r>
    <s v="Lord"/>
    <x v="4"/>
    <n v="1798"/>
    <x v="4"/>
    <n v="1834"/>
    <s v="England"/>
    <s v="Romantic poetry"/>
  </r>
  <r>
    <s v="William"/>
    <x v="6"/>
    <n v="1770"/>
    <x v="4"/>
    <n v="1850"/>
    <s v="England"/>
    <s v="Romanticism"/>
  </r>
  <r>
    <s v="William"/>
    <x v="6"/>
    <n v="1780"/>
    <x v="4"/>
    <n v="1860"/>
    <s v="England"/>
    <s v="Romanticism"/>
  </r>
  <r>
    <s v="William"/>
    <x v="6"/>
    <n v="1790"/>
    <x v="4"/>
    <n v="1870"/>
    <s v="England"/>
    <s v="Romanticism"/>
  </r>
  <r>
    <s v="Johann"/>
    <x v="7"/>
    <n v="1749"/>
    <x v="4"/>
    <n v="1832"/>
    <s v="Germany"/>
    <s v="Sturm und Drang"/>
  </r>
  <r>
    <s v="Johann"/>
    <x v="7"/>
    <n v="1759"/>
    <x v="4"/>
    <n v="1842"/>
    <s v="Germany"/>
    <s v="Sturm und Drang"/>
  </r>
  <r>
    <s v="Johann"/>
    <x v="7"/>
    <n v="1769"/>
    <x v="4"/>
    <n v="1852"/>
    <s v="Germany"/>
    <s v="Sturm und Drang"/>
  </r>
  <r>
    <s v="Johann"/>
    <x v="7"/>
    <n v="1779"/>
    <x v="4"/>
    <n v="1862"/>
    <s v="Germany"/>
    <s v="Sturm und Drang"/>
  </r>
  <r>
    <s v="Johann"/>
    <x v="7"/>
    <n v="1789"/>
    <x v="4"/>
    <n v="1872"/>
    <s v="Germany"/>
    <s v="Sturm und Drang"/>
  </r>
  <r>
    <s v="Johann"/>
    <x v="7"/>
    <n v="1799"/>
    <x v="4"/>
    <n v="1882"/>
    <s v="Germany"/>
    <s v="Sturm und Drang"/>
  </r>
  <r>
    <s v="Oscar"/>
    <x v="8"/>
    <n v="1854"/>
    <x v="5"/>
    <n v="1900"/>
    <s v="Ireland"/>
    <s v="Aestheticism"/>
  </r>
  <r>
    <s v="Oscar"/>
    <x v="8"/>
    <n v="1864"/>
    <x v="5"/>
    <n v="1910"/>
    <s v="Ireland"/>
    <s v="Aestheticism"/>
  </r>
  <r>
    <s v="Oscar"/>
    <x v="8"/>
    <n v="1874"/>
    <x v="5"/>
    <n v="1920"/>
    <s v="Ireland"/>
    <s v="Aestheticism"/>
  </r>
  <r>
    <s v="Oscar"/>
    <x v="8"/>
    <n v="1884"/>
    <x v="5"/>
    <n v="1930"/>
    <s v="Ireland"/>
    <s v="Aestheticism"/>
  </r>
  <r>
    <s v="Oscar"/>
    <x v="8"/>
    <n v="1894"/>
    <x v="5"/>
    <n v="1940"/>
    <s v="Ireland"/>
    <s v="Aestheticism"/>
  </r>
  <r>
    <s v="Rabindranath"/>
    <x v="9"/>
    <n v="1861"/>
    <x v="5"/>
    <n v="1941"/>
    <s v="India"/>
    <s v="Bengali renaissance"/>
  </r>
  <r>
    <s v="Rabindranath"/>
    <x v="9"/>
    <n v="1871"/>
    <x v="5"/>
    <n v="1951"/>
    <s v="India"/>
    <s v="Bengali renaissance"/>
  </r>
  <r>
    <s v="Rabindranath"/>
    <x v="9"/>
    <n v="1881"/>
    <x v="5"/>
    <n v="1961"/>
    <s v="India"/>
    <s v="Bengali renaissance"/>
  </r>
  <r>
    <s v="Rabindranath"/>
    <x v="9"/>
    <n v="1891"/>
    <x v="5"/>
    <n v="1971"/>
    <s v="India"/>
    <s v="Bengali renaissance"/>
  </r>
  <r>
    <s v="Edgar"/>
    <x v="10"/>
    <n v="1809"/>
    <x v="5"/>
    <n v="1849"/>
    <s v="United States"/>
    <s v="Gothic fiction"/>
  </r>
  <r>
    <s v="Edgar"/>
    <x v="10"/>
    <n v="1819"/>
    <x v="5"/>
    <n v="1859"/>
    <s v="United States"/>
    <s v="Gothic fiction"/>
  </r>
  <r>
    <s v="Edgar"/>
    <x v="10"/>
    <n v="1829"/>
    <x v="5"/>
    <n v="1869"/>
    <s v="United States"/>
    <s v="Gothic fiction"/>
  </r>
  <r>
    <s v="Edgar"/>
    <x v="10"/>
    <n v="1839"/>
    <x v="5"/>
    <n v="1879"/>
    <s v="United States"/>
    <s v="Gothic fiction"/>
  </r>
  <r>
    <s v="Edgar"/>
    <x v="10"/>
    <n v="1849"/>
    <x v="5"/>
    <n v="1889"/>
    <s v="United States"/>
    <s v="Gothic fiction"/>
  </r>
  <r>
    <s v="Edgar"/>
    <x v="10"/>
    <n v="1859"/>
    <x v="5"/>
    <n v="1899"/>
    <s v="United States"/>
    <s v="Gothic fiction"/>
  </r>
  <r>
    <s v="Edgar"/>
    <x v="10"/>
    <n v="1869"/>
    <x v="5"/>
    <n v="1909"/>
    <s v="United States"/>
    <s v="Gothic fiction"/>
  </r>
  <r>
    <s v="Edgar"/>
    <x v="10"/>
    <n v="1879"/>
    <x v="5"/>
    <n v="1919"/>
    <s v="United States"/>
    <s v="Gothic fiction"/>
  </r>
  <r>
    <s v="Emily"/>
    <x v="11"/>
    <n v="1830"/>
    <x v="5"/>
    <n v="1886"/>
    <s v="United States"/>
    <s v="Lyric poetry"/>
  </r>
  <r>
    <s v="Emily"/>
    <x v="11"/>
    <n v="1840"/>
    <x v="5"/>
    <n v="1896"/>
    <s v="United States"/>
    <s v="Lyric poetry"/>
  </r>
  <r>
    <s v="Emily"/>
    <x v="11"/>
    <n v="1850"/>
    <x v="5"/>
    <n v="1906"/>
    <s v="United States"/>
    <s v="Lyric poetry"/>
  </r>
  <r>
    <s v="Emily"/>
    <x v="11"/>
    <n v="1860"/>
    <x v="5"/>
    <n v="1916"/>
    <s v="United States"/>
    <s v="Lyric poetry"/>
  </r>
  <r>
    <s v="Emily"/>
    <x v="11"/>
    <n v="1870"/>
    <x v="5"/>
    <n v="1926"/>
    <s v="United States"/>
    <s v="Lyric poetry"/>
  </r>
  <r>
    <s v="Emily"/>
    <x v="11"/>
    <n v="1880"/>
    <x v="5"/>
    <n v="1936"/>
    <s v="United States"/>
    <s v="Lyric poetry"/>
  </r>
  <r>
    <s v="Emily"/>
    <x v="11"/>
    <n v="1890"/>
    <x v="5"/>
    <n v="1946"/>
    <s v="United States"/>
    <s v="Lyric poetry"/>
  </r>
  <r>
    <s v="Virginia"/>
    <x v="12"/>
    <n v="1882"/>
    <x v="5"/>
    <n v="1941"/>
    <s v="England"/>
    <s v="Modern literature"/>
  </r>
  <r>
    <s v="Virginia"/>
    <x v="12"/>
    <n v="1892"/>
    <x v="5"/>
    <n v="1951"/>
    <s v="England"/>
    <s v="Modern literature"/>
  </r>
  <r>
    <s v="Robert"/>
    <x v="13"/>
    <n v="1874"/>
    <x v="5"/>
    <n v="1963"/>
    <s v="United States"/>
    <s v="Poetry of rural life"/>
  </r>
  <r>
    <s v="Robert"/>
    <x v="13"/>
    <n v="1884"/>
    <x v="5"/>
    <n v="1973"/>
    <s v="United States"/>
    <s v="Poetry of rural life"/>
  </r>
  <r>
    <s v="Robert"/>
    <x v="13"/>
    <n v="1894"/>
    <x v="5"/>
    <n v="1983"/>
    <s v="United States"/>
    <s v="Poetry of rural life"/>
  </r>
  <r>
    <s v="John"/>
    <x v="5"/>
    <n v="1805"/>
    <x v="5"/>
    <n v="1831"/>
    <s v="England"/>
    <s v="Romantic poetry"/>
  </r>
  <r>
    <s v="Lord"/>
    <x v="4"/>
    <n v="1808"/>
    <x v="5"/>
    <n v="1844"/>
    <s v="England"/>
    <s v="Romantic poetry"/>
  </r>
  <r>
    <s v="John"/>
    <x v="5"/>
    <n v="1815"/>
    <x v="5"/>
    <n v="1841"/>
    <s v="England"/>
    <s v="Romantic poetry"/>
  </r>
  <r>
    <s v="Lord"/>
    <x v="4"/>
    <n v="1818"/>
    <x v="5"/>
    <n v="1854"/>
    <s v="England"/>
    <s v="Romantic poetry"/>
  </r>
  <r>
    <s v="John"/>
    <x v="5"/>
    <n v="1825"/>
    <x v="5"/>
    <n v="1851"/>
    <s v="England"/>
    <s v="Romantic poetry"/>
  </r>
  <r>
    <s v="Lord"/>
    <x v="4"/>
    <n v="1828"/>
    <x v="5"/>
    <n v="1864"/>
    <s v="England"/>
    <s v="Romantic poetry"/>
  </r>
  <r>
    <s v="John"/>
    <x v="5"/>
    <n v="1835"/>
    <x v="5"/>
    <n v="1861"/>
    <s v="England"/>
    <s v="Romantic poetry"/>
  </r>
  <r>
    <s v="Lord"/>
    <x v="4"/>
    <n v="1838"/>
    <x v="5"/>
    <n v="1874"/>
    <s v="England"/>
    <s v="Romantic poetry"/>
  </r>
  <r>
    <s v="John"/>
    <x v="5"/>
    <n v="1845"/>
    <x v="5"/>
    <n v="1871"/>
    <s v="England"/>
    <s v="Romantic poetry"/>
  </r>
  <r>
    <s v="Lord"/>
    <x v="4"/>
    <n v="1848"/>
    <x v="5"/>
    <n v="1884"/>
    <s v="England"/>
    <s v="Romantic poetry"/>
  </r>
  <r>
    <s v="John"/>
    <x v="5"/>
    <n v="1855"/>
    <x v="5"/>
    <n v="1881"/>
    <s v="England"/>
    <s v="Romantic poetry"/>
  </r>
  <r>
    <s v="Lord"/>
    <x v="4"/>
    <n v="1858"/>
    <x v="5"/>
    <n v="1894"/>
    <s v="England"/>
    <s v="Romantic poetry"/>
  </r>
  <r>
    <s v="John"/>
    <x v="5"/>
    <n v="1865"/>
    <x v="5"/>
    <n v="1891"/>
    <s v="England"/>
    <s v="Romantic poetry"/>
  </r>
  <r>
    <s v="William"/>
    <x v="6"/>
    <n v="1800"/>
    <x v="5"/>
    <n v="1880"/>
    <s v="England"/>
    <s v="Romanticism"/>
  </r>
  <r>
    <s v="William"/>
    <x v="6"/>
    <n v="1810"/>
    <x v="5"/>
    <n v="1890"/>
    <s v="England"/>
    <s v="Romanticism"/>
  </r>
  <r>
    <s v="William"/>
    <x v="6"/>
    <n v="1820"/>
    <x v="5"/>
    <n v="1900"/>
    <s v="England"/>
    <s v="Romanticism"/>
  </r>
  <r>
    <s v="William"/>
    <x v="6"/>
    <n v="1830"/>
    <x v="5"/>
    <n v="1910"/>
    <s v="England"/>
    <s v="Romanticism"/>
  </r>
  <r>
    <s v="William"/>
    <x v="6"/>
    <n v="1840"/>
    <x v="5"/>
    <n v="1920"/>
    <s v="England"/>
    <s v="Romanticism"/>
  </r>
  <r>
    <s v="Johann"/>
    <x v="7"/>
    <n v="1809"/>
    <x v="5"/>
    <n v="1892"/>
    <s v="Germany"/>
    <s v="Sturm und Drang"/>
  </r>
  <r>
    <s v="Johann"/>
    <x v="7"/>
    <n v="1819"/>
    <x v="5"/>
    <n v="1902"/>
    <s v="Germany"/>
    <s v="Sturm und Drang"/>
  </r>
  <r>
    <s v="Federico"/>
    <x v="14"/>
    <n v="1898"/>
    <x v="5"/>
    <n v="1936"/>
    <s v="Spain"/>
    <s v="Surrealism"/>
  </r>
  <r>
    <s v="Charles"/>
    <x v="15"/>
    <n v="1821"/>
    <x v="5"/>
    <n v="1867"/>
    <s v="France"/>
    <s v="Symbolism"/>
  </r>
  <r>
    <s v="Charles"/>
    <x v="15"/>
    <n v="1831"/>
    <x v="5"/>
    <n v="1877"/>
    <s v="France"/>
    <s v="Symbolism"/>
  </r>
  <r>
    <s v="Charles"/>
    <x v="15"/>
    <n v="1841"/>
    <x v="5"/>
    <n v="1887"/>
    <s v="France"/>
    <s v="Symbolism"/>
  </r>
  <r>
    <s v="Charles"/>
    <x v="15"/>
    <n v="1851"/>
    <x v="5"/>
    <n v="1897"/>
    <s v="France"/>
    <s v="Symbolism"/>
  </r>
  <r>
    <s v="Arthur"/>
    <x v="16"/>
    <n v="1854"/>
    <x v="5"/>
    <n v="1891"/>
    <s v="France"/>
    <s v="Symbolism"/>
  </r>
  <r>
    <s v="Charles"/>
    <x v="15"/>
    <n v="1861"/>
    <x v="5"/>
    <n v="1907"/>
    <s v="France"/>
    <s v="Symbolism"/>
  </r>
  <r>
    <s v="Arthur"/>
    <x v="16"/>
    <n v="1864"/>
    <x v="5"/>
    <n v="1901"/>
    <s v="France"/>
    <s v="Symbolism"/>
  </r>
  <r>
    <s v="Charles"/>
    <x v="15"/>
    <n v="1871"/>
    <x v="5"/>
    <n v="1917"/>
    <s v="France"/>
    <s v="Symbolism"/>
  </r>
  <r>
    <s v="Arthur"/>
    <x v="16"/>
    <n v="1874"/>
    <x v="5"/>
    <n v="1911"/>
    <s v="France"/>
    <s v="Symbolism"/>
  </r>
  <r>
    <s v="Charles"/>
    <x v="15"/>
    <n v="1881"/>
    <x v="5"/>
    <n v="1927"/>
    <s v="France"/>
    <s v="Symbolism"/>
  </r>
  <r>
    <s v="Arthur"/>
    <x v="16"/>
    <n v="1884"/>
    <x v="5"/>
    <n v="1921"/>
    <s v="France"/>
    <s v="Symbolism"/>
  </r>
  <r>
    <s v="Charles"/>
    <x v="15"/>
    <n v="1891"/>
    <x v="5"/>
    <n v="1937"/>
    <s v="France"/>
    <s v="Symbolism"/>
  </r>
  <r>
    <s v="Arthur"/>
    <x v="16"/>
    <n v="1894"/>
    <x v="5"/>
    <n v="1931"/>
    <s v="France"/>
    <s v="Symbolism"/>
  </r>
  <r>
    <s v="Walt"/>
    <x v="17"/>
    <n v="1819"/>
    <x v="5"/>
    <n v="1892"/>
    <s v="United States"/>
    <s v="Transcendentalism"/>
  </r>
  <r>
    <s v="Walt"/>
    <x v="17"/>
    <n v="1829"/>
    <x v="5"/>
    <n v="1902"/>
    <s v="United States"/>
    <s v="Transcendentalism"/>
  </r>
  <r>
    <s v="Walt"/>
    <x v="17"/>
    <n v="1839"/>
    <x v="5"/>
    <n v="1912"/>
    <s v="United States"/>
    <s v="Transcendentalism"/>
  </r>
  <r>
    <s v="Walt"/>
    <x v="17"/>
    <n v="1849"/>
    <x v="5"/>
    <n v="1922"/>
    <s v="United States"/>
    <s v="Transcendentalism"/>
  </r>
  <r>
    <s v="Walt"/>
    <x v="17"/>
    <n v="1859"/>
    <x v="5"/>
    <n v="1932"/>
    <s v="United States"/>
    <s v="Transcendentalism"/>
  </r>
  <r>
    <s v="Walt"/>
    <x v="17"/>
    <n v="1869"/>
    <x v="5"/>
    <n v="1942"/>
    <s v="United States"/>
    <s v="Transcendentalism"/>
  </r>
  <r>
    <s v="Walt"/>
    <x v="17"/>
    <n v="1879"/>
    <x v="5"/>
    <n v="1952"/>
    <s v="United States"/>
    <s v="Transcendentalism"/>
  </r>
  <r>
    <s v="Walt"/>
    <x v="17"/>
    <n v="1889"/>
    <x v="5"/>
    <n v="1962"/>
    <s v="United States"/>
    <s v="Transcendentalism"/>
  </r>
  <r>
    <s v="Elizabeth"/>
    <x v="18"/>
    <n v="1806"/>
    <x v="5"/>
    <n v="1861"/>
    <s v="England"/>
    <s v="Victorian poetry"/>
  </r>
  <r>
    <s v="Elizabeth"/>
    <x v="18"/>
    <n v="1816"/>
    <x v="5"/>
    <n v="1871"/>
    <s v="England"/>
    <s v="Victorian poetry"/>
  </r>
  <r>
    <s v="Elizabeth"/>
    <x v="18"/>
    <n v="1826"/>
    <x v="5"/>
    <n v="1881"/>
    <s v="England"/>
    <s v="Victorian poetry"/>
  </r>
  <r>
    <s v="Elizabeth"/>
    <x v="18"/>
    <n v="1836"/>
    <x v="5"/>
    <n v="1891"/>
    <s v="England"/>
    <s v="Victorian poetry"/>
  </r>
  <r>
    <s v="Elizabeth"/>
    <x v="18"/>
    <n v="1846"/>
    <x v="5"/>
    <n v="1901"/>
    <s v="England"/>
    <s v="Victorian poetry"/>
  </r>
  <r>
    <s v="Elizabeth"/>
    <x v="18"/>
    <n v="1856"/>
    <x v="5"/>
    <n v="1911"/>
    <s v="England"/>
    <s v="Victorian poetry"/>
  </r>
  <r>
    <s v="Elizabeth"/>
    <x v="18"/>
    <n v="1866"/>
    <x v="5"/>
    <n v="1921"/>
    <s v="England"/>
    <s v="Victorian poetry"/>
  </r>
  <r>
    <s v="Elizabeth"/>
    <x v="18"/>
    <n v="1876"/>
    <x v="5"/>
    <n v="1931"/>
    <s v="England"/>
    <s v="Victorian poetry"/>
  </r>
  <r>
    <s v="Oscar"/>
    <x v="8"/>
    <n v="1904"/>
    <x v="6"/>
    <n v="1950"/>
    <s v="Ireland"/>
    <s v="Aestheticism"/>
  </r>
  <r>
    <s v="Oscar"/>
    <x v="8"/>
    <n v="1914"/>
    <x v="6"/>
    <n v="1960"/>
    <s v="Ireland"/>
    <s v="Aestheticism"/>
  </r>
  <r>
    <s v="Oscar"/>
    <x v="8"/>
    <n v="1924"/>
    <x v="6"/>
    <n v="1970"/>
    <s v="Ireland"/>
    <s v="Aestheticism"/>
  </r>
  <r>
    <s v="Rabindranath"/>
    <x v="9"/>
    <n v="1901"/>
    <x v="6"/>
    <n v="1981"/>
    <s v="India"/>
    <s v="Bengali renaissance"/>
  </r>
  <r>
    <s v="Rabindranath"/>
    <x v="9"/>
    <n v="1911"/>
    <x v="6"/>
    <n v="1991"/>
    <s v="India"/>
    <s v="Bengali renaissance"/>
  </r>
  <r>
    <s v="Rabindranath"/>
    <x v="9"/>
    <n v="1921"/>
    <x v="6"/>
    <n v="2001"/>
    <s v="India"/>
    <s v="Bengali renaissance"/>
  </r>
  <r>
    <s v="Rabindranath"/>
    <x v="9"/>
    <n v="1931"/>
    <x v="6"/>
    <n v="2011"/>
    <s v="India"/>
    <s v="Bengali renaissance"/>
  </r>
  <r>
    <s v="Maya"/>
    <x v="19"/>
    <n v="1928"/>
    <x v="6"/>
    <n v="2014"/>
    <s v="United States"/>
    <s v="Civil Rights Movement poetry"/>
  </r>
  <r>
    <s v="Maya"/>
    <x v="19"/>
    <n v="1938"/>
    <x v="6"/>
    <n v="2024"/>
    <s v="United States"/>
    <s v="Civil Rights Movement poetry"/>
  </r>
  <r>
    <s v="Maya"/>
    <x v="19"/>
    <n v="1948"/>
    <x v="6"/>
    <n v="2034"/>
    <s v="United States"/>
    <s v="Civil Rights Movement poetry"/>
  </r>
  <r>
    <s v="Maya"/>
    <x v="19"/>
    <n v="1958"/>
    <x v="6"/>
    <n v="2044"/>
    <s v="United States"/>
    <s v="Civil Rights Movement poetry"/>
  </r>
  <r>
    <s v="Maya"/>
    <x v="19"/>
    <n v="1968"/>
    <x v="6"/>
    <n v="2054"/>
    <s v="United States"/>
    <s v="Civil Rights Movement poetry"/>
  </r>
  <r>
    <s v="Maya"/>
    <x v="19"/>
    <n v="1978"/>
    <x v="6"/>
    <n v="2064"/>
    <s v="United States"/>
    <s v="Civil Rights Movement poetry"/>
  </r>
  <r>
    <s v="Maya"/>
    <x v="19"/>
    <n v="1988"/>
    <x v="6"/>
    <n v="2074"/>
    <s v="United States"/>
    <s v="Civil Rights Movement poetry"/>
  </r>
  <r>
    <s v="Maya"/>
    <x v="19"/>
    <n v="1998"/>
    <x v="6"/>
    <n v="2084"/>
    <s v="United States"/>
    <s v="Civil Rights Movement poetry"/>
  </r>
  <r>
    <s v="Anne"/>
    <x v="20"/>
    <n v="1928"/>
    <x v="6"/>
    <n v="1974"/>
    <s v="United States"/>
    <s v="Confessional poetry"/>
  </r>
  <r>
    <s v="Sylvia"/>
    <x v="21"/>
    <n v="1932"/>
    <x v="6"/>
    <n v="1963"/>
    <s v="United States"/>
    <s v="Confessional poetry"/>
  </r>
  <r>
    <s v="Anne"/>
    <x v="20"/>
    <n v="1938"/>
    <x v="6"/>
    <n v="1984"/>
    <s v="United States"/>
    <s v="Confessional poetry"/>
  </r>
  <r>
    <s v="Sylvia"/>
    <x v="21"/>
    <n v="1942"/>
    <x v="6"/>
    <n v="1973"/>
    <s v="United States"/>
    <s v="Confessional poetry"/>
  </r>
  <r>
    <s v="Anne"/>
    <x v="20"/>
    <n v="1948"/>
    <x v="6"/>
    <n v="1994"/>
    <s v="United States"/>
    <s v="Confessional poetry"/>
  </r>
  <r>
    <s v="Sylvia"/>
    <x v="21"/>
    <n v="1952"/>
    <x v="6"/>
    <n v="1983"/>
    <s v="United States"/>
    <s v="Confessional poetry"/>
  </r>
  <r>
    <s v="Anne"/>
    <x v="20"/>
    <n v="1958"/>
    <x v="6"/>
    <n v="2004"/>
    <s v="United States"/>
    <s v="Confessional poetry"/>
  </r>
  <r>
    <s v="Sylvia"/>
    <x v="21"/>
    <n v="1962"/>
    <x v="6"/>
    <n v="1993"/>
    <s v="United States"/>
    <s v="Confessional poetry"/>
  </r>
  <r>
    <s v="Anne"/>
    <x v="20"/>
    <n v="1968"/>
    <x v="6"/>
    <n v="2014"/>
    <s v="United States"/>
    <s v="Confessional poetry"/>
  </r>
  <r>
    <s v="Sylvia"/>
    <x v="21"/>
    <n v="1972"/>
    <x v="6"/>
    <n v="2003"/>
    <s v="United States"/>
    <s v="Confessional poetry"/>
  </r>
  <r>
    <s v="Anne"/>
    <x v="20"/>
    <n v="1978"/>
    <x v="6"/>
    <n v="2024"/>
    <s v="United States"/>
    <s v="Confessional poetry"/>
  </r>
  <r>
    <s v="Sylvia"/>
    <x v="21"/>
    <n v="1982"/>
    <x v="6"/>
    <n v="2013"/>
    <s v="United States"/>
    <s v="Confessional poetry"/>
  </r>
  <r>
    <s v="Anne"/>
    <x v="20"/>
    <n v="1988"/>
    <x v="6"/>
    <n v="2034"/>
    <s v="United States"/>
    <s v="Confessional poetry"/>
  </r>
  <r>
    <s v="Sylvia"/>
    <x v="21"/>
    <n v="1992"/>
    <x v="6"/>
    <n v="2023"/>
    <s v="United States"/>
    <s v="Confessional poetry"/>
  </r>
  <r>
    <s v="Anne"/>
    <x v="20"/>
    <n v="1998"/>
    <x v="6"/>
    <n v="2044"/>
    <s v="United States"/>
    <s v="Confessional poetry"/>
  </r>
  <r>
    <s v="Louise"/>
    <x v="22"/>
    <n v="1943"/>
    <x v="6"/>
    <n v="2020"/>
    <s v="United States"/>
    <s v="Contemporary poetry"/>
  </r>
  <r>
    <s v="Louise"/>
    <x v="22"/>
    <n v="1953"/>
    <x v="6"/>
    <n v="2030"/>
    <s v="United States"/>
    <s v="Contemporary poetry"/>
  </r>
  <r>
    <s v="Louise"/>
    <x v="22"/>
    <n v="1963"/>
    <x v="6"/>
    <n v="2040"/>
    <s v="United States"/>
    <s v="Contemporary poetry"/>
  </r>
  <r>
    <s v="Louise"/>
    <x v="22"/>
    <n v="1973"/>
    <x v="6"/>
    <n v="2050"/>
    <s v="United States"/>
    <s v="Contemporary poetry"/>
  </r>
  <r>
    <s v="Louise"/>
    <x v="22"/>
    <n v="1983"/>
    <x v="6"/>
    <n v="2060"/>
    <s v="United States"/>
    <s v="Contemporary poetry"/>
  </r>
  <r>
    <s v="Louise"/>
    <x v="22"/>
    <n v="1993"/>
    <x v="6"/>
    <n v="2070"/>
    <s v="United States"/>
    <s v="Contemporary poetry"/>
  </r>
  <r>
    <s v="Langston"/>
    <x v="23"/>
    <n v="1902"/>
    <x v="6"/>
    <n v="1967"/>
    <s v="United States"/>
    <s v="Jazz poetry"/>
  </r>
  <r>
    <s v="Langston"/>
    <x v="23"/>
    <n v="1912"/>
    <x v="6"/>
    <n v="1977"/>
    <s v="United States"/>
    <s v="Jazz poetry"/>
  </r>
  <r>
    <s v="Langston"/>
    <x v="23"/>
    <n v="1922"/>
    <x v="6"/>
    <n v="1987"/>
    <s v="United States"/>
    <s v="Jazz poetry"/>
  </r>
  <r>
    <s v="Langston"/>
    <x v="23"/>
    <n v="1932"/>
    <x v="6"/>
    <n v="1997"/>
    <s v="United States"/>
    <s v="Jazz poetry"/>
  </r>
  <r>
    <s v="Langston"/>
    <x v="23"/>
    <n v="1942"/>
    <x v="6"/>
    <n v="2007"/>
    <s v="United States"/>
    <s v="Jazz poetry"/>
  </r>
  <r>
    <s v="Langston"/>
    <x v="23"/>
    <n v="1952"/>
    <x v="6"/>
    <n v="2017"/>
    <s v="United States"/>
    <s v="Jazz poetry"/>
  </r>
  <r>
    <s v="Langston"/>
    <x v="23"/>
    <n v="1962"/>
    <x v="6"/>
    <n v="2027"/>
    <s v="United States"/>
    <s v="Jazz poetry"/>
  </r>
  <r>
    <s v="Langston"/>
    <x v="23"/>
    <n v="1972"/>
    <x v="6"/>
    <n v="2037"/>
    <s v="United States"/>
    <s v="Jazz poetry"/>
  </r>
  <r>
    <s v="Emily"/>
    <x v="11"/>
    <n v="1900"/>
    <x v="6"/>
    <n v="1956"/>
    <s v="United States"/>
    <s v="Lyric poetry"/>
  </r>
  <r>
    <s v="Virginia"/>
    <x v="12"/>
    <n v="1902"/>
    <x v="6"/>
    <n v="1961"/>
    <s v="England"/>
    <s v="Modern literature"/>
  </r>
  <r>
    <s v="Virginia"/>
    <x v="12"/>
    <n v="1912"/>
    <x v="6"/>
    <n v="1971"/>
    <s v="England"/>
    <s v="Modern literature"/>
  </r>
  <r>
    <s v="Virginia"/>
    <x v="12"/>
    <n v="1922"/>
    <x v="6"/>
    <n v="1981"/>
    <s v="England"/>
    <s v="Modern literature"/>
  </r>
  <r>
    <s v="Virginia"/>
    <x v="12"/>
    <n v="1932"/>
    <x v="6"/>
    <n v="1991"/>
    <s v="England"/>
    <s v="Modern literature"/>
  </r>
  <r>
    <s v="Virginia"/>
    <x v="12"/>
    <n v="1942"/>
    <x v="6"/>
    <n v="2001"/>
    <s v="England"/>
    <s v="Modern literature"/>
  </r>
  <r>
    <s v="Virginia"/>
    <x v="12"/>
    <n v="1952"/>
    <x v="6"/>
    <n v="2011"/>
    <s v="England"/>
    <s v="Modern literature"/>
  </r>
  <r>
    <s v="Robert"/>
    <x v="13"/>
    <n v="1904"/>
    <x v="6"/>
    <n v="1993"/>
    <s v="United States"/>
    <s v="Poetry of rural life"/>
  </r>
  <r>
    <s v="Robert"/>
    <x v="13"/>
    <n v="1914"/>
    <x v="6"/>
    <n v="2003"/>
    <s v="United States"/>
    <s v="Poetry of rural life"/>
  </r>
  <r>
    <s v="Robert"/>
    <x v="13"/>
    <n v="1924"/>
    <x v="6"/>
    <n v="2013"/>
    <s v="United States"/>
    <s v="Poetry of rural life"/>
  </r>
  <r>
    <s v="Robert"/>
    <x v="13"/>
    <n v="1934"/>
    <x v="6"/>
    <n v="2023"/>
    <s v="United States"/>
    <s v="Poetry of rural life"/>
  </r>
  <r>
    <s v="Robert"/>
    <x v="13"/>
    <n v="1944"/>
    <x v="6"/>
    <n v="2033"/>
    <s v="United States"/>
    <s v="Poetry of rural life"/>
  </r>
  <r>
    <s v="Pablo"/>
    <x v="24"/>
    <n v="1904"/>
    <x v="6"/>
    <n v="1973"/>
    <s v="Chile"/>
    <s v="Surrealism"/>
  </r>
  <r>
    <s v="Federico"/>
    <x v="14"/>
    <n v="1908"/>
    <x v="6"/>
    <n v="1946"/>
    <s v="Spain"/>
    <s v="Surrealism"/>
  </r>
  <r>
    <s v="Pablo"/>
    <x v="24"/>
    <n v="1914"/>
    <x v="6"/>
    <n v="1983"/>
    <s v="Chile"/>
    <s v="Surrealism"/>
  </r>
  <r>
    <s v="Federico"/>
    <x v="14"/>
    <n v="1918"/>
    <x v="6"/>
    <n v="1956"/>
    <s v="Spain"/>
    <s v="Surrealism"/>
  </r>
  <r>
    <s v="Pablo"/>
    <x v="24"/>
    <n v="1924"/>
    <x v="6"/>
    <n v="1993"/>
    <s v="Chile"/>
    <s v="Surrealism"/>
  </r>
  <r>
    <s v="Federico"/>
    <x v="14"/>
    <n v="1928"/>
    <x v="6"/>
    <n v="1966"/>
    <s v="Spain"/>
    <s v="Surrealism"/>
  </r>
  <r>
    <s v="Pablo"/>
    <x v="24"/>
    <n v="1934"/>
    <x v="6"/>
    <n v="2003"/>
    <s v="Chile"/>
    <s v="Surrealism"/>
  </r>
  <r>
    <s v="Federico"/>
    <x v="14"/>
    <n v="1938"/>
    <x v="6"/>
    <n v="1976"/>
    <s v="Spain"/>
    <s v="Surrealism"/>
  </r>
  <r>
    <s v="Pablo"/>
    <x v="24"/>
    <n v="1944"/>
    <x v="6"/>
    <n v="2013"/>
    <s v="Chile"/>
    <s v="Surrealism"/>
  </r>
  <r>
    <s v="Federico"/>
    <x v="14"/>
    <n v="1948"/>
    <x v="6"/>
    <n v="1986"/>
    <s v="Spain"/>
    <s v="Surrealism"/>
  </r>
  <r>
    <s v="Pablo"/>
    <x v="24"/>
    <n v="1954"/>
    <x v="6"/>
    <n v="2023"/>
    <s v="Chile"/>
    <s v="Surrealism"/>
  </r>
  <r>
    <s v="Federico"/>
    <x v="14"/>
    <n v="1958"/>
    <x v="6"/>
    <n v="1996"/>
    <s v="Spain"/>
    <s v="Surrealism"/>
  </r>
  <r>
    <s v="Pablo"/>
    <x v="24"/>
    <n v="1964"/>
    <x v="6"/>
    <n v="2033"/>
    <s v="Chile"/>
    <s v="Surrealism"/>
  </r>
  <r>
    <s v="Federico"/>
    <x v="14"/>
    <n v="1968"/>
    <x v="6"/>
    <n v="2006"/>
    <s v="Spain"/>
    <s v="Surrealism"/>
  </r>
  <r>
    <s v="Pablo"/>
    <x v="24"/>
    <n v="1974"/>
    <x v="6"/>
    <n v="2043"/>
    <s v="Chile"/>
    <s v="Surrealism"/>
  </r>
  <r>
    <s v="Arthur"/>
    <x v="16"/>
    <n v="1904"/>
    <x v="6"/>
    <n v="1941"/>
    <s v="France"/>
    <s v="Symbolism"/>
  </r>
  <r>
    <s v="Arthur"/>
    <x v="16"/>
    <n v="1914"/>
    <x v="6"/>
    <n v="1951"/>
    <s v="France"/>
    <s v="Symbolism"/>
  </r>
  <r>
    <s v="Arthur"/>
    <x v="16"/>
    <n v="1924"/>
    <x v="6"/>
    <n v="1961"/>
    <s v="France"/>
    <s v="Symbolism"/>
  </r>
  <r>
    <s v="Sylvia"/>
    <x v="21"/>
    <n v="2002"/>
    <x v="7"/>
    <n v="2033"/>
    <s v="United States"/>
    <s v="Confessional poetry"/>
  </r>
  <r>
    <s v="Louise"/>
    <x v="22"/>
    <n v="2003"/>
    <x v="7"/>
    <n v="2080"/>
    <s v="United States"/>
    <s v="Contemporary poetry"/>
  </r>
  <r>
    <s v="Louise"/>
    <x v="22"/>
    <n v="2013"/>
    <x v="7"/>
    <n v="2090"/>
    <s v="United States"/>
    <s v="Contemporary poetry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423EA9-4E2E-4A27-B26A-72044ED34030}" name="Kontingenční tabulka5" cacheId="46" applyNumberFormats="0" applyBorderFormats="0" applyFontFormats="0" applyPatternFormats="0" applyAlignmentFormats="0" applyWidthHeightFormats="1" dataCaption="Hodnoty" updatedVersion="8" minRefreshableVersion="3" useAutoFormatting="1" itemPrintTitles="1" createdVersion="8" indent="0" outline="1" outlineData="1" multipleFieldFilters="0">
  <location ref="A3:A70" firstHeaderRow="1" firstDataRow="1" firstDataCol="1"/>
  <pivotFields count="7">
    <pivotField showAll="0"/>
    <pivotField axis="axisRow" showAll="0">
      <items count="26">
        <item x="0"/>
        <item x="10"/>
        <item x="19"/>
        <item x="18"/>
        <item x="3"/>
        <item x="15"/>
        <item x="4"/>
        <item x="11"/>
        <item x="13"/>
        <item x="14"/>
        <item x="22"/>
        <item x="7"/>
        <item x="23"/>
        <item x="2"/>
        <item x="1"/>
        <item x="5"/>
        <item x="24"/>
        <item x="21"/>
        <item x="16"/>
        <item x="20"/>
        <item x="9"/>
        <item x="17"/>
        <item x="8"/>
        <item x="12"/>
        <item x="6"/>
        <item t="default"/>
      </items>
    </pivotField>
    <pivotField showAll="0"/>
    <pivotField axis="axisRow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showAll="0"/>
    <pivotField showAll="0"/>
    <pivotField showAll="0"/>
  </pivotFields>
  <rowFields count="2">
    <field x="1"/>
    <field x="3"/>
  </rowFields>
  <rowItems count="67">
    <i>
      <x/>
    </i>
    <i r="1">
      <x/>
    </i>
    <i r="1">
      <x v="1"/>
    </i>
    <i>
      <x v="1"/>
    </i>
    <i r="1">
      <x v="5"/>
    </i>
    <i>
      <x v="2"/>
    </i>
    <i r="1">
      <x v="6"/>
    </i>
    <i>
      <x v="3"/>
    </i>
    <i r="1">
      <x v="5"/>
    </i>
    <i>
      <x v="4"/>
    </i>
    <i r="1">
      <x v="3"/>
    </i>
    <i r="1">
      <x v="4"/>
    </i>
    <i>
      <x v="5"/>
    </i>
    <i r="1">
      <x v="5"/>
    </i>
    <i>
      <x v="6"/>
    </i>
    <i r="1">
      <x v="4"/>
    </i>
    <i r="1">
      <x v="5"/>
    </i>
    <i>
      <x v="7"/>
    </i>
    <i r="1">
      <x v="5"/>
    </i>
    <i r="1">
      <x v="6"/>
    </i>
    <i>
      <x v="8"/>
    </i>
    <i r="1">
      <x v="5"/>
    </i>
    <i r="1">
      <x v="6"/>
    </i>
    <i>
      <x v="9"/>
    </i>
    <i r="1">
      <x v="5"/>
    </i>
    <i r="1">
      <x v="6"/>
    </i>
    <i>
      <x v="10"/>
    </i>
    <i r="1">
      <x v="6"/>
    </i>
    <i r="1">
      <x v="7"/>
    </i>
    <i>
      <x v="11"/>
    </i>
    <i r="1">
      <x v="4"/>
    </i>
    <i r="1">
      <x v="5"/>
    </i>
    <i>
      <x v="12"/>
    </i>
    <i r="1">
      <x v="6"/>
    </i>
    <i>
      <x v="13"/>
    </i>
    <i r="1">
      <x v="1"/>
    </i>
    <i r="1">
      <x v="2"/>
    </i>
    <i>
      <x v="14"/>
    </i>
    <i r="1">
      <x/>
    </i>
    <i>
      <x v="15"/>
    </i>
    <i r="1">
      <x v="4"/>
    </i>
    <i r="1">
      <x v="5"/>
    </i>
    <i>
      <x v="16"/>
    </i>
    <i r="1">
      <x v="6"/>
    </i>
    <i>
      <x v="17"/>
    </i>
    <i r="1">
      <x v="6"/>
    </i>
    <i r="1">
      <x v="7"/>
    </i>
    <i>
      <x v="18"/>
    </i>
    <i r="1">
      <x v="5"/>
    </i>
    <i r="1">
      <x v="6"/>
    </i>
    <i>
      <x v="19"/>
    </i>
    <i r="1">
      <x v="6"/>
    </i>
    <i>
      <x v="20"/>
    </i>
    <i r="1">
      <x v="5"/>
    </i>
    <i r="1">
      <x v="6"/>
    </i>
    <i>
      <x v="21"/>
    </i>
    <i r="1">
      <x v="5"/>
    </i>
    <i>
      <x v="22"/>
    </i>
    <i r="1">
      <x v="5"/>
    </i>
    <i r="1">
      <x v="6"/>
    </i>
    <i>
      <x v="23"/>
    </i>
    <i r="1">
      <x v="5"/>
    </i>
    <i r="1">
      <x v="6"/>
    </i>
    <i>
      <x v="24"/>
    </i>
    <i r="1">
      <x v="4"/>
    </i>
    <i r="1">
      <x v="5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F4752B-7A08-4158-9F00-CD0A4CA71EBE}" name="Kontingenční tabulka3" cacheId="34" applyNumberFormats="0" applyBorderFormats="0" applyFontFormats="0" applyPatternFormats="0" applyAlignmentFormats="0" applyWidthHeightFormats="1" dataCaption="Hodnoty" updatedVersion="8" minRefreshableVersion="3" useAutoFormatting="1" itemPrintTitles="1" createdVersion="8" indent="0" compact="0" compactData="0" multipleFieldFilters="0" chartFormat="3">
  <location ref="BF14:BH42" firstHeaderRow="1" firstDataRow="1" firstDataCol="2" rowPageCount="1" colPageCount="1"/>
  <pivotFields count="7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0"/>
        <item x="1"/>
        <item x="2"/>
        <item x="3"/>
        <item x="4"/>
        <item x="5"/>
        <item x="6"/>
        <item x="7"/>
        <item x="8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">
        <item x="2"/>
        <item x="9"/>
        <item x="4"/>
        <item x="10"/>
        <item x="6"/>
        <item x="5"/>
        <item x="0"/>
        <item x="3"/>
        <item x="1"/>
        <item x="8"/>
        <item x="7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22">
        <item x="7"/>
        <item x="8"/>
        <item x="17"/>
        <item x="18"/>
        <item x="19"/>
        <item x="0"/>
        <item x="9"/>
        <item x="3"/>
        <item x="20"/>
        <item x="10"/>
        <item x="2"/>
        <item x="11"/>
        <item x="12"/>
        <item x="4"/>
        <item x="5"/>
        <item x="6"/>
        <item x="1"/>
        <item x="13"/>
        <item x="14"/>
        <item x="15"/>
        <item x="16"/>
        <item h="1" x="21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3"/>
    <field x="5"/>
  </rowFields>
  <rowItems count="28">
    <i>
      <x/>
      <x v="6"/>
    </i>
    <i r="1">
      <x v="8"/>
    </i>
    <i>
      <x v="1"/>
      <x/>
    </i>
    <i r="1">
      <x v="6"/>
    </i>
    <i>
      <x v="2"/>
      <x/>
    </i>
    <i>
      <x v="3"/>
      <x v="7"/>
    </i>
    <i>
      <x v="4"/>
      <x/>
    </i>
    <i r="1">
      <x v="2"/>
    </i>
    <i r="1">
      <x v="7"/>
    </i>
    <i>
      <x v="5"/>
      <x/>
    </i>
    <i r="1">
      <x v="1"/>
    </i>
    <i r="1">
      <x v="2"/>
    </i>
    <i r="1">
      <x v="4"/>
    </i>
    <i r="1">
      <x v="5"/>
    </i>
    <i r="1">
      <x v="9"/>
    </i>
    <i r="1">
      <x v="10"/>
    </i>
    <i>
      <x v="6"/>
      <x/>
    </i>
    <i r="1">
      <x v="1"/>
    </i>
    <i r="1">
      <x v="3"/>
    </i>
    <i r="1">
      <x v="4"/>
    </i>
    <i r="1">
      <x v="5"/>
    </i>
    <i r="1">
      <x v="9"/>
    </i>
    <i r="1">
      <x v="10"/>
    </i>
    <i>
      <x v="7"/>
      <x v="10"/>
    </i>
    <i>
      <x v="8"/>
      <x/>
    </i>
    <i r="1">
      <x v="2"/>
    </i>
    <i r="1">
      <x v="10"/>
    </i>
    <i t="grand">
      <x/>
    </i>
  </rowItems>
  <colItems count="1">
    <i/>
  </colItems>
  <pageFields count="1">
    <pageField fld="6" hier="-1"/>
  </pageFields>
  <dataFields count="1">
    <dataField name="Počet z First Name" fld="0" subtotal="count" baseField="0" baseItem="0"/>
  </dataFields>
  <chartFormats count="19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8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9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0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3B45AC-EA82-41DB-A883-27788B0CE426}" name="Kontingenční tabulka2" cacheId="34" applyNumberFormats="0" applyBorderFormats="0" applyFontFormats="0" applyPatternFormats="0" applyAlignmentFormats="0" applyWidthHeightFormats="1" dataCaption="Hodnoty" updatedVersion="8" minRefreshableVersion="3" useAutoFormatting="1" itemPrintTitles="1" createdVersion="8" indent="0" compact="0" compactData="0" multipleFieldFilters="0" chartFormat="7">
  <location ref="BA14:BC38" firstHeaderRow="1" firstDataRow="1" firstDataCol="2" rowPageCount="1" colPageCount="1"/>
  <pivotFields count="7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143">
        <item x="4"/>
        <item x="5"/>
        <item x="6"/>
        <item x="7"/>
        <item x="8"/>
        <item x="9"/>
        <item x="0"/>
        <item x="10"/>
        <item x="1"/>
        <item x="11"/>
        <item x="2"/>
        <item x="3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8"/>
        <item x="39"/>
        <item x="40"/>
        <item x="35"/>
        <item x="41"/>
        <item x="36"/>
        <item x="32"/>
        <item x="42"/>
        <item x="37"/>
        <item x="33"/>
        <item x="34"/>
        <item x="43"/>
        <item x="83"/>
        <item x="70"/>
        <item x="92"/>
        <item x="71"/>
        <item x="53"/>
        <item x="84"/>
        <item x="72"/>
        <item x="93"/>
        <item x="73"/>
        <item x="54"/>
        <item x="85"/>
        <item x="87"/>
        <item x="74"/>
        <item x="94"/>
        <item x="75"/>
        <item x="55"/>
        <item x="61"/>
        <item x="88"/>
        <item x="76"/>
        <item x="95"/>
        <item x="77"/>
        <item x="56"/>
        <item x="62"/>
        <item x="89"/>
        <item x="78"/>
        <item x="96"/>
        <item x="79"/>
        <item x="57"/>
        <item x="63"/>
        <item x="90"/>
        <item x="44"/>
        <item x="80"/>
        <item x="97"/>
        <item x="81"/>
        <item x="58"/>
        <item x="64"/>
        <item x="49"/>
        <item x="45"/>
        <item x="82"/>
        <item x="98"/>
        <item x="59"/>
        <item x="65"/>
        <item x="50"/>
        <item x="46"/>
        <item x="99"/>
        <item x="60"/>
        <item x="66"/>
        <item x="51"/>
        <item x="68"/>
        <item x="47"/>
        <item x="91"/>
        <item x="67"/>
        <item x="52"/>
        <item x="69"/>
        <item x="48"/>
        <item x="86"/>
        <item x="131"/>
        <item x="103"/>
        <item x="128"/>
        <item x="100"/>
        <item x="134"/>
        <item x="104"/>
        <item x="129"/>
        <item x="101"/>
        <item x="135"/>
        <item x="105"/>
        <item x="130"/>
        <item x="102"/>
        <item x="107"/>
        <item x="106"/>
        <item x="115"/>
        <item x="132"/>
        <item x="108"/>
        <item x="116"/>
        <item x="122"/>
        <item x="133"/>
        <item x="109"/>
        <item x="117"/>
        <item x="123"/>
        <item x="136"/>
        <item x="110"/>
        <item x="118"/>
        <item x="124"/>
        <item x="137"/>
        <item x="111"/>
        <item x="119"/>
        <item x="125"/>
        <item x="138"/>
        <item x="112"/>
        <item x="120"/>
        <item x="126"/>
        <item x="113"/>
        <item x="121"/>
        <item x="127"/>
        <item x="114"/>
        <item x="139"/>
        <item x="140"/>
        <item x="141"/>
        <item h="1" x="14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12">
        <item x="2"/>
        <item x="9"/>
        <item x="4"/>
        <item x="10"/>
        <item x="6"/>
        <item x="5"/>
        <item x="0"/>
        <item x="3"/>
        <item x="1"/>
        <item x="8"/>
        <item x="7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22">
        <item x="7"/>
        <item x="8"/>
        <item x="17"/>
        <item x="18"/>
        <item x="19"/>
        <item x="0"/>
        <item x="9"/>
        <item x="3"/>
        <item x="20"/>
        <item x="10"/>
        <item x="2"/>
        <item x="11"/>
        <item x="12"/>
        <item x="4"/>
        <item x="5"/>
        <item x="6"/>
        <item x="1"/>
        <item x="13"/>
        <item x="14"/>
        <item x="15"/>
        <item x="16"/>
        <item x="21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6"/>
    <field x="5"/>
  </rowFields>
  <rowItems count="24">
    <i>
      <x/>
      <x v="5"/>
    </i>
    <i>
      <x v="1"/>
      <x v="4"/>
    </i>
    <i>
      <x v="2"/>
      <x v="10"/>
    </i>
    <i>
      <x v="3"/>
      <x v="10"/>
    </i>
    <i>
      <x v="4"/>
      <x v="10"/>
    </i>
    <i>
      <x v="5"/>
      <x v="6"/>
    </i>
    <i>
      <x v="6"/>
      <x v="10"/>
    </i>
    <i>
      <x v="7"/>
      <x v="7"/>
    </i>
    <i>
      <x v="8"/>
      <x v="10"/>
    </i>
    <i>
      <x v="9"/>
      <x v="10"/>
    </i>
    <i>
      <x v="10"/>
      <x/>
    </i>
    <i>
      <x v="11"/>
      <x/>
    </i>
    <i>
      <x v="12"/>
      <x v="10"/>
    </i>
    <i>
      <x v="13"/>
      <x/>
    </i>
    <i>
      <x v="14"/>
      <x/>
    </i>
    <i>
      <x v="15"/>
      <x v="2"/>
    </i>
    <i>
      <x v="16"/>
      <x v="8"/>
    </i>
    <i>
      <x v="17"/>
      <x v="9"/>
    </i>
    <i r="1">
      <x v="3"/>
    </i>
    <i r="1">
      <x v="2"/>
    </i>
    <i>
      <x v="18"/>
      <x v="1"/>
    </i>
    <i>
      <x v="19"/>
      <x v="10"/>
    </i>
    <i>
      <x v="20"/>
      <x/>
    </i>
    <i t="grand">
      <x/>
    </i>
  </rowItems>
  <colItems count="1">
    <i/>
  </colItems>
  <pageFields count="1">
    <pageField fld="2" hier="-1"/>
  </pageFields>
  <dataFields count="1">
    <dataField name="Počet z First Name" fld="0" subtotal="count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AFEEA8-5CBF-487F-89B6-5DC0F17433B2}" name="Kontingenční tabulka1" cacheId="34" applyNumberFormats="0" applyBorderFormats="0" applyFontFormats="0" applyPatternFormats="0" applyAlignmentFormats="0" applyWidthHeightFormats="1" dataCaption="Hodnoty" updatedVersion="8" minRefreshableVersion="3" useAutoFormatting="1" itemPrintTitles="1" createdVersion="8" indent="0" compact="0" compactData="0" multipleFieldFilters="0" chartFormat="4">
  <location ref="AW14:AY42" firstHeaderRow="1" firstDataRow="1" firstDataCol="2" rowPageCount="1" colPageCount="1"/>
  <pivotFields count="7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0"/>
        <item x="1"/>
        <item x="2"/>
        <item x="3"/>
        <item x="4"/>
        <item x="5"/>
        <item x="6"/>
        <item x="7"/>
        <item x="8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12">
        <item x="2"/>
        <item x="9"/>
        <item x="4"/>
        <item x="10"/>
        <item x="6"/>
        <item x="5"/>
        <item x="0"/>
        <item x="3"/>
        <item x="1"/>
        <item x="8"/>
        <item x="7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22">
        <item x="7"/>
        <item x="8"/>
        <item x="17"/>
        <item x="18"/>
        <item x="19"/>
        <item x="0"/>
        <item x="9"/>
        <item x="3"/>
        <item x="20"/>
        <item x="10"/>
        <item x="2"/>
        <item x="11"/>
        <item x="12"/>
        <item x="4"/>
        <item x="5"/>
        <item x="6"/>
        <item x="1"/>
        <item x="13"/>
        <item x="14"/>
        <item x="15"/>
        <item x="16"/>
        <item h="1" x="21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3"/>
    <field x="5"/>
  </rowFields>
  <rowItems count="28">
    <i>
      <x/>
      <x v="8"/>
    </i>
    <i r="1">
      <x v="6"/>
    </i>
    <i>
      <x v="1"/>
      <x/>
    </i>
    <i r="1">
      <x v="6"/>
    </i>
    <i>
      <x v="2"/>
      <x/>
    </i>
    <i>
      <x v="3"/>
      <x v="7"/>
    </i>
    <i>
      <x v="4"/>
      <x/>
    </i>
    <i r="1">
      <x v="2"/>
    </i>
    <i r="1">
      <x v="7"/>
    </i>
    <i>
      <x v="5"/>
      <x/>
    </i>
    <i r="1">
      <x v="10"/>
    </i>
    <i r="1">
      <x v="1"/>
    </i>
    <i r="1">
      <x v="5"/>
    </i>
    <i r="1">
      <x v="4"/>
    </i>
    <i r="1">
      <x v="2"/>
    </i>
    <i r="1">
      <x v="9"/>
    </i>
    <i>
      <x v="6"/>
      <x v="10"/>
    </i>
    <i r="1">
      <x v="3"/>
    </i>
    <i r="1">
      <x v="9"/>
    </i>
    <i r="1">
      <x/>
    </i>
    <i r="1">
      <x v="4"/>
    </i>
    <i r="1">
      <x v="5"/>
    </i>
    <i r="1">
      <x v="1"/>
    </i>
    <i>
      <x v="7"/>
      <x v="10"/>
    </i>
    <i>
      <x v="8"/>
      <x v="2"/>
    </i>
    <i r="1">
      <x v="10"/>
    </i>
    <i r="1">
      <x/>
    </i>
    <i t="grand">
      <x/>
    </i>
  </rowItems>
  <colItems count="1">
    <i/>
  </colItems>
  <pageFields count="1">
    <pageField fld="6" hier="-1"/>
  </pageFields>
  <dataFields count="1">
    <dataField name="Počet z First Name" fld="0" subtotal="count" baseField="0" baseItem="0"/>
  </dataFields>
  <chartFormats count="19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8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9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0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4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64EF7-3FED-48B6-96B6-55FF32795B1E}">
  <sheetPr codeName="List5"/>
  <dimension ref="A3:A70"/>
  <sheetViews>
    <sheetView workbookViewId="0">
      <selection activeCell="A6" sqref="A6"/>
    </sheetView>
  </sheetViews>
  <sheetFormatPr defaultRowHeight="15" x14ac:dyDescent="0.25"/>
  <cols>
    <col min="1" max="1" width="17.85546875" bestFit="1" customWidth="1"/>
  </cols>
  <sheetData>
    <row r="3" spans="1:1" x14ac:dyDescent="0.25">
      <c r="A3" s="1" t="s">
        <v>91</v>
      </c>
    </row>
    <row r="4" spans="1:1" x14ac:dyDescent="0.25">
      <c r="A4" s="2" t="s">
        <v>64</v>
      </c>
    </row>
    <row r="5" spans="1:1" x14ac:dyDescent="0.25">
      <c r="A5" s="3">
        <v>13</v>
      </c>
    </row>
    <row r="6" spans="1:1" x14ac:dyDescent="0.25">
      <c r="A6" s="3">
        <v>14</v>
      </c>
    </row>
    <row r="7" spans="1:1" x14ac:dyDescent="0.25">
      <c r="A7" s="2" t="s">
        <v>59</v>
      </c>
    </row>
    <row r="8" spans="1:1" x14ac:dyDescent="0.25">
      <c r="A8" s="3">
        <v>19</v>
      </c>
    </row>
    <row r="9" spans="1:1" x14ac:dyDescent="0.25">
      <c r="A9" s="2" t="s">
        <v>29</v>
      </c>
    </row>
    <row r="10" spans="1:1" x14ac:dyDescent="0.25">
      <c r="A10" s="3">
        <v>20</v>
      </c>
    </row>
    <row r="11" spans="1:1" x14ac:dyDescent="0.25">
      <c r="A11" s="2" t="s">
        <v>46</v>
      </c>
    </row>
    <row r="12" spans="1:1" x14ac:dyDescent="0.25">
      <c r="A12" s="3">
        <v>19</v>
      </c>
    </row>
    <row r="13" spans="1:1" x14ac:dyDescent="0.25">
      <c r="A13" s="2" t="s">
        <v>39</v>
      </c>
    </row>
    <row r="14" spans="1:1" x14ac:dyDescent="0.25">
      <c r="A14" s="3">
        <v>17</v>
      </c>
    </row>
    <row r="15" spans="1:1" x14ac:dyDescent="0.25">
      <c r="A15" s="3">
        <v>18</v>
      </c>
    </row>
    <row r="16" spans="1:1" x14ac:dyDescent="0.25">
      <c r="A16" s="2" t="s">
        <v>49</v>
      </c>
    </row>
    <row r="17" spans="1:1" x14ac:dyDescent="0.25">
      <c r="A17" s="3">
        <v>19</v>
      </c>
    </row>
    <row r="18" spans="1:1" x14ac:dyDescent="0.25">
      <c r="A18" s="2" t="s">
        <v>71</v>
      </c>
    </row>
    <row r="19" spans="1:1" x14ac:dyDescent="0.25">
      <c r="A19" s="3">
        <v>18</v>
      </c>
    </row>
    <row r="20" spans="1:1" x14ac:dyDescent="0.25">
      <c r="A20" s="3">
        <v>19</v>
      </c>
    </row>
    <row r="21" spans="1:1" x14ac:dyDescent="0.25">
      <c r="A21" s="2" t="s">
        <v>18</v>
      </c>
    </row>
    <row r="22" spans="1:1" x14ac:dyDescent="0.25">
      <c r="A22" s="3">
        <v>19</v>
      </c>
    </row>
    <row r="23" spans="1:1" x14ac:dyDescent="0.25">
      <c r="A23" s="3">
        <v>20</v>
      </c>
    </row>
    <row r="24" spans="1:1" x14ac:dyDescent="0.25">
      <c r="A24" s="2" t="s">
        <v>56</v>
      </c>
    </row>
    <row r="25" spans="1:1" x14ac:dyDescent="0.25">
      <c r="A25" s="3">
        <v>19</v>
      </c>
    </row>
    <row r="26" spans="1:1" x14ac:dyDescent="0.25">
      <c r="A26" s="3">
        <v>20</v>
      </c>
    </row>
    <row r="27" spans="1:1" x14ac:dyDescent="0.25">
      <c r="A27" s="2" t="s">
        <v>86</v>
      </c>
    </row>
    <row r="28" spans="1:1" x14ac:dyDescent="0.25">
      <c r="A28" s="3">
        <v>19</v>
      </c>
    </row>
    <row r="29" spans="1:1" x14ac:dyDescent="0.25">
      <c r="A29" s="3">
        <v>20</v>
      </c>
    </row>
    <row r="30" spans="1:1" x14ac:dyDescent="0.25">
      <c r="A30" s="2" t="s">
        <v>53</v>
      </c>
    </row>
    <row r="31" spans="1:1" x14ac:dyDescent="0.25">
      <c r="A31" s="3">
        <v>20</v>
      </c>
    </row>
    <row r="32" spans="1:1" x14ac:dyDescent="0.25">
      <c r="A32" s="3">
        <v>21</v>
      </c>
    </row>
    <row r="33" spans="1:1" x14ac:dyDescent="0.25">
      <c r="A33" s="2" t="s">
        <v>82</v>
      </c>
    </row>
    <row r="34" spans="1:1" x14ac:dyDescent="0.25">
      <c r="A34" s="3">
        <v>18</v>
      </c>
    </row>
    <row r="35" spans="1:1" x14ac:dyDescent="0.25">
      <c r="A35" s="3">
        <v>19</v>
      </c>
    </row>
    <row r="36" spans="1:1" x14ac:dyDescent="0.25">
      <c r="A36" s="2" t="s">
        <v>15</v>
      </c>
    </row>
    <row r="37" spans="1:1" x14ac:dyDescent="0.25">
      <c r="A37" s="3">
        <v>20</v>
      </c>
    </row>
    <row r="38" spans="1:1" x14ac:dyDescent="0.25">
      <c r="A38" s="2" t="s">
        <v>68</v>
      </c>
    </row>
    <row r="39" spans="1:1" x14ac:dyDescent="0.25">
      <c r="A39" s="3">
        <v>14</v>
      </c>
    </row>
    <row r="40" spans="1:1" x14ac:dyDescent="0.25">
      <c r="A40" s="3">
        <v>15</v>
      </c>
    </row>
    <row r="41" spans="1:1" x14ac:dyDescent="0.25">
      <c r="A41" s="2" t="s">
        <v>21</v>
      </c>
    </row>
    <row r="42" spans="1:1" x14ac:dyDescent="0.25">
      <c r="A42" s="3">
        <v>13</v>
      </c>
    </row>
    <row r="43" spans="1:1" x14ac:dyDescent="0.25">
      <c r="A43" s="2" t="s">
        <v>43</v>
      </c>
    </row>
    <row r="44" spans="1:1" x14ac:dyDescent="0.25">
      <c r="A44" s="3">
        <v>18</v>
      </c>
    </row>
    <row r="45" spans="1:1" x14ac:dyDescent="0.25">
      <c r="A45" s="3">
        <v>19</v>
      </c>
    </row>
    <row r="46" spans="1:1" x14ac:dyDescent="0.25">
      <c r="A46" s="2" t="s">
        <v>25</v>
      </c>
    </row>
    <row r="47" spans="1:1" x14ac:dyDescent="0.25">
      <c r="A47" s="3">
        <v>20</v>
      </c>
    </row>
    <row r="48" spans="1:1" x14ac:dyDescent="0.25">
      <c r="A48" s="2" t="s">
        <v>11</v>
      </c>
    </row>
    <row r="49" spans="1:1" x14ac:dyDescent="0.25">
      <c r="A49" s="3">
        <v>20</v>
      </c>
    </row>
    <row r="50" spans="1:1" x14ac:dyDescent="0.25">
      <c r="A50" s="3">
        <v>21</v>
      </c>
    </row>
    <row r="51" spans="1:1" x14ac:dyDescent="0.25">
      <c r="A51" s="2" t="s">
        <v>80</v>
      </c>
    </row>
    <row r="52" spans="1:1" x14ac:dyDescent="0.25">
      <c r="A52" s="3">
        <v>19</v>
      </c>
    </row>
    <row r="53" spans="1:1" x14ac:dyDescent="0.25">
      <c r="A53" s="3">
        <v>20</v>
      </c>
    </row>
    <row r="54" spans="1:1" x14ac:dyDescent="0.25">
      <c r="A54" s="2" t="s">
        <v>62</v>
      </c>
    </row>
    <row r="55" spans="1:1" x14ac:dyDescent="0.25">
      <c r="A55" s="3">
        <v>20</v>
      </c>
    </row>
    <row r="56" spans="1:1" x14ac:dyDescent="0.25">
      <c r="A56" s="2" t="s">
        <v>32</v>
      </c>
    </row>
    <row r="57" spans="1:1" x14ac:dyDescent="0.25">
      <c r="A57" s="3">
        <v>19</v>
      </c>
    </row>
    <row r="58" spans="1:1" x14ac:dyDescent="0.25">
      <c r="A58" s="3">
        <v>20</v>
      </c>
    </row>
    <row r="59" spans="1:1" x14ac:dyDescent="0.25">
      <c r="A59" s="2" t="s">
        <v>36</v>
      </c>
    </row>
    <row r="60" spans="1:1" x14ac:dyDescent="0.25">
      <c r="A60" s="3">
        <v>19</v>
      </c>
    </row>
    <row r="61" spans="1:1" x14ac:dyDescent="0.25">
      <c r="A61" s="2" t="s">
        <v>73</v>
      </c>
    </row>
    <row r="62" spans="1:1" x14ac:dyDescent="0.25">
      <c r="A62" s="3">
        <v>19</v>
      </c>
    </row>
    <row r="63" spans="1:1" x14ac:dyDescent="0.25">
      <c r="A63" s="3">
        <v>20</v>
      </c>
    </row>
    <row r="64" spans="1:1" x14ac:dyDescent="0.25">
      <c r="A64" s="2" t="s">
        <v>77</v>
      </c>
    </row>
    <row r="65" spans="1:1" x14ac:dyDescent="0.25">
      <c r="A65" s="3">
        <v>19</v>
      </c>
    </row>
    <row r="66" spans="1:1" x14ac:dyDescent="0.25">
      <c r="A66" s="3">
        <v>20</v>
      </c>
    </row>
    <row r="67" spans="1:1" x14ac:dyDescent="0.25">
      <c r="A67" s="2" t="s">
        <v>7</v>
      </c>
    </row>
    <row r="68" spans="1:1" x14ac:dyDescent="0.25">
      <c r="A68" s="3">
        <v>18</v>
      </c>
    </row>
    <row r="69" spans="1:1" x14ac:dyDescent="0.25">
      <c r="A69" s="3">
        <v>19</v>
      </c>
    </row>
    <row r="70" spans="1:1" x14ac:dyDescent="0.25">
      <c r="A70" s="2" t="s">
        <v>92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37DE01-A7ED-4A01-8749-020AB3869DE9}">
  <sheetPr codeName="List1"/>
  <dimension ref="A1:L201"/>
  <sheetViews>
    <sheetView zoomScale="70" zoomScaleNormal="70" workbookViewId="0">
      <selection activeCell="Q37" sqref="Q37"/>
    </sheetView>
  </sheetViews>
  <sheetFormatPr defaultRowHeight="15" x14ac:dyDescent="0.25"/>
  <cols>
    <col min="1" max="1" width="13.28515625" bestFit="1" customWidth="1"/>
    <col min="2" max="2" width="15.7109375" bestFit="1" customWidth="1"/>
    <col min="3" max="3" width="13.85546875" bestFit="1" customWidth="1"/>
    <col min="4" max="4" width="13.85546875" customWidth="1"/>
    <col min="5" max="5" width="12.5703125" bestFit="1" customWidth="1"/>
    <col min="6" max="6" width="15.85546875" bestFit="1" customWidth="1"/>
    <col min="7" max="7" width="26.42578125" bestFit="1" customWidth="1"/>
    <col min="8" max="8" width="9.5703125" bestFit="1" customWidth="1"/>
    <col min="10" max="10" width="10.42578125" bestFit="1" customWidth="1"/>
  </cols>
  <sheetData>
    <row r="1" spans="1:12" x14ac:dyDescent="0.25">
      <c r="A1" t="s">
        <v>0</v>
      </c>
      <c r="B1" t="s">
        <v>1</v>
      </c>
      <c r="C1" t="s">
        <v>2</v>
      </c>
      <c r="D1" t="s">
        <v>88</v>
      </c>
      <c r="E1" t="s">
        <v>3</v>
      </c>
      <c r="F1" t="s">
        <v>4</v>
      </c>
      <c r="G1" t="s">
        <v>5</v>
      </c>
      <c r="H1" t="s">
        <v>89</v>
      </c>
      <c r="I1" t="s">
        <v>90</v>
      </c>
      <c r="L1" t="s">
        <v>298</v>
      </c>
    </row>
    <row r="2" spans="1:12" x14ac:dyDescent="0.25">
      <c r="A2" t="s">
        <v>63</v>
      </c>
      <c r="B2" t="s">
        <v>64</v>
      </c>
      <c r="C2">
        <v>1265</v>
      </c>
      <c r="D2">
        <f>INT(C2/100)+1</f>
        <v>13</v>
      </c>
      <c r="E2">
        <v>1321</v>
      </c>
      <c r="F2" t="s">
        <v>65</v>
      </c>
      <c r="G2" t="s">
        <v>66</v>
      </c>
      <c r="H2">
        <f>C2+20</f>
        <v>1285</v>
      </c>
      <c r="I2">
        <f>INT(H2/100)+1</f>
        <v>13</v>
      </c>
      <c r="J2" t="b">
        <f>AND(I2=19,F2="France")</f>
        <v>0</v>
      </c>
      <c r="K2">
        <f>IF(E2-H2&gt;=50,1,0)</f>
        <v>0</v>
      </c>
      <c r="L2">
        <v>1</v>
      </c>
    </row>
    <row r="3" spans="1:12" x14ac:dyDescent="0.25">
      <c r="A3" t="s">
        <v>63</v>
      </c>
      <c r="B3" t="s">
        <v>64</v>
      </c>
      <c r="C3">
        <v>1275</v>
      </c>
      <c r="D3">
        <f>INT(C3/100)+1</f>
        <v>13</v>
      </c>
      <c r="E3">
        <v>1331</v>
      </c>
      <c r="F3" t="s">
        <v>65</v>
      </c>
      <c r="G3" t="s">
        <v>66</v>
      </c>
      <c r="H3">
        <f>C3+20</f>
        <v>1295</v>
      </c>
      <c r="I3">
        <f>INT(H3/100)+1</f>
        <v>13</v>
      </c>
      <c r="J3" t="b">
        <f>AND(I3=19,F3="France")</f>
        <v>0</v>
      </c>
      <c r="K3">
        <f>IF(E3-H3&gt;=50,1,0)</f>
        <v>0</v>
      </c>
      <c r="L3">
        <v>2</v>
      </c>
    </row>
    <row r="4" spans="1:12" x14ac:dyDescent="0.25">
      <c r="A4" t="s">
        <v>63</v>
      </c>
      <c r="B4" t="s">
        <v>64</v>
      </c>
      <c r="C4">
        <v>1285</v>
      </c>
      <c r="D4">
        <f>INT(C4/100)+1</f>
        <v>13</v>
      </c>
      <c r="E4">
        <v>1341</v>
      </c>
      <c r="F4" t="s">
        <v>65</v>
      </c>
      <c r="G4" t="s">
        <v>66</v>
      </c>
      <c r="H4">
        <f>C4+20</f>
        <v>1305</v>
      </c>
      <c r="I4">
        <f>INT(H4/100)+1</f>
        <v>14</v>
      </c>
      <c r="J4" t="b">
        <f>AND(I4=19,F4="France")</f>
        <v>0</v>
      </c>
      <c r="K4">
        <f>IF(E4-H4&gt;=50,1,0)</f>
        <v>0</v>
      </c>
      <c r="L4">
        <v>3</v>
      </c>
    </row>
    <row r="5" spans="1:12" x14ac:dyDescent="0.25">
      <c r="A5" t="s">
        <v>63</v>
      </c>
      <c r="B5" t="s">
        <v>64</v>
      </c>
      <c r="C5">
        <v>1295</v>
      </c>
      <c r="D5">
        <f>INT(C5/100)+1</f>
        <v>13</v>
      </c>
      <c r="E5">
        <v>1351</v>
      </c>
      <c r="F5" t="s">
        <v>65</v>
      </c>
      <c r="G5" t="s">
        <v>66</v>
      </c>
      <c r="H5">
        <f>C5+20</f>
        <v>1315</v>
      </c>
      <c r="I5">
        <f>INT(H5/100)+1</f>
        <v>14</v>
      </c>
      <c r="J5" t="b">
        <f>AND(I5=19,F5="France")</f>
        <v>0</v>
      </c>
      <c r="K5">
        <f>IF(E5-H5&gt;=50,1,0)</f>
        <v>0</v>
      </c>
      <c r="L5">
        <v>4</v>
      </c>
    </row>
    <row r="6" spans="1:12" x14ac:dyDescent="0.25">
      <c r="A6" t="s">
        <v>20</v>
      </c>
      <c r="B6" t="s">
        <v>21</v>
      </c>
      <c r="C6">
        <v>1207</v>
      </c>
      <c r="D6">
        <f>INT(C6/100)+1</f>
        <v>13</v>
      </c>
      <c r="E6">
        <v>1273</v>
      </c>
      <c r="F6" t="s">
        <v>22</v>
      </c>
      <c r="G6" t="s">
        <v>23</v>
      </c>
      <c r="H6">
        <f>C6+20</f>
        <v>1227</v>
      </c>
      <c r="I6">
        <f>INT(H6/100)+1</f>
        <v>13</v>
      </c>
      <c r="J6" t="b">
        <f>AND(I6=19,F6="France")</f>
        <v>0</v>
      </c>
      <c r="K6">
        <f>IF(E6-H6&gt;=50,1,0)</f>
        <v>0</v>
      </c>
      <c r="L6">
        <v>5</v>
      </c>
    </row>
    <row r="7" spans="1:12" x14ac:dyDescent="0.25">
      <c r="A7" t="s">
        <v>20</v>
      </c>
      <c r="B7" t="s">
        <v>21</v>
      </c>
      <c r="C7">
        <v>1217</v>
      </c>
      <c r="D7">
        <f>INT(C7/100)+1</f>
        <v>13</v>
      </c>
      <c r="E7">
        <v>1283</v>
      </c>
      <c r="F7" t="s">
        <v>22</v>
      </c>
      <c r="G7" t="s">
        <v>23</v>
      </c>
      <c r="H7">
        <f>C7+20</f>
        <v>1237</v>
      </c>
      <c r="I7">
        <f>INT(H7/100)+1</f>
        <v>13</v>
      </c>
      <c r="J7" t="b">
        <f>AND(I7=19,F7="France")</f>
        <v>0</v>
      </c>
      <c r="K7">
        <f>IF(E7-H7&gt;=50,1,0)</f>
        <v>0</v>
      </c>
      <c r="L7">
        <v>6</v>
      </c>
    </row>
    <row r="8" spans="1:12" x14ac:dyDescent="0.25">
      <c r="A8" t="s">
        <v>20</v>
      </c>
      <c r="B8" t="s">
        <v>21</v>
      </c>
      <c r="C8">
        <v>1227</v>
      </c>
      <c r="D8">
        <f>INT(C8/100)+1</f>
        <v>13</v>
      </c>
      <c r="E8">
        <v>1293</v>
      </c>
      <c r="F8" t="s">
        <v>22</v>
      </c>
      <c r="G8" t="s">
        <v>23</v>
      </c>
      <c r="H8">
        <f>C8+20</f>
        <v>1247</v>
      </c>
      <c r="I8">
        <f>INT(H8/100)+1</f>
        <v>13</v>
      </c>
      <c r="J8" t="b">
        <f>AND(I8=19,F8="France")</f>
        <v>0</v>
      </c>
      <c r="K8">
        <f>IF(E8-H8&gt;=50,1,0)</f>
        <v>0</v>
      </c>
      <c r="L8">
        <v>7</v>
      </c>
    </row>
    <row r="9" spans="1:12" x14ac:dyDescent="0.25">
      <c r="A9" t="s">
        <v>20</v>
      </c>
      <c r="B9" t="s">
        <v>21</v>
      </c>
      <c r="C9">
        <v>1237</v>
      </c>
      <c r="D9">
        <f>INT(C9/100)+1</f>
        <v>13</v>
      </c>
      <c r="E9">
        <v>1303</v>
      </c>
      <c r="F9" t="s">
        <v>22</v>
      </c>
      <c r="G9" t="s">
        <v>23</v>
      </c>
      <c r="H9">
        <f>C9+20</f>
        <v>1257</v>
      </c>
      <c r="I9">
        <f>INT(H9/100)+1</f>
        <v>13</v>
      </c>
      <c r="J9" t="b">
        <f>AND(I9=19,F9="France")</f>
        <v>0</v>
      </c>
      <c r="K9">
        <f>IF(E9-H9&gt;=50,1,0)</f>
        <v>0</v>
      </c>
      <c r="L9">
        <v>8</v>
      </c>
    </row>
    <row r="10" spans="1:12" x14ac:dyDescent="0.25">
      <c r="A10" t="s">
        <v>20</v>
      </c>
      <c r="B10" t="s">
        <v>21</v>
      </c>
      <c r="C10">
        <v>1247</v>
      </c>
      <c r="D10">
        <f>INT(C10/100)+1</f>
        <v>13</v>
      </c>
      <c r="E10">
        <v>1313</v>
      </c>
      <c r="F10" t="s">
        <v>22</v>
      </c>
      <c r="G10" t="s">
        <v>23</v>
      </c>
      <c r="H10">
        <f>C10+20</f>
        <v>1267</v>
      </c>
      <c r="I10">
        <f>INT(H10/100)+1</f>
        <v>13</v>
      </c>
      <c r="J10" t="b">
        <f>AND(I10=19,F10="France")</f>
        <v>0</v>
      </c>
      <c r="K10">
        <f>IF(E10-H10&gt;=50,1,0)</f>
        <v>0</v>
      </c>
      <c r="L10">
        <v>9</v>
      </c>
    </row>
    <row r="11" spans="1:12" x14ac:dyDescent="0.25">
      <c r="A11" t="s">
        <v>20</v>
      </c>
      <c r="B11" t="s">
        <v>21</v>
      </c>
      <c r="C11">
        <v>1257</v>
      </c>
      <c r="D11">
        <f>INT(C11/100)+1</f>
        <v>13</v>
      </c>
      <c r="E11">
        <v>1323</v>
      </c>
      <c r="F11" t="s">
        <v>22</v>
      </c>
      <c r="G11" t="s">
        <v>23</v>
      </c>
      <c r="H11">
        <f>C11+20</f>
        <v>1277</v>
      </c>
      <c r="I11">
        <f>INT(H11/100)+1</f>
        <v>13</v>
      </c>
      <c r="J11" t="b">
        <f>AND(I11=19,F11="France")</f>
        <v>0</v>
      </c>
      <c r="K11">
        <f>IF(E11-H11&gt;=50,1,0)</f>
        <v>0</v>
      </c>
      <c r="L11">
        <v>10</v>
      </c>
    </row>
    <row r="12" spans="1:12" x14ac:dyDescent="0.25">
      <c r="A12" t="s">
        <v>20</v>
      </c>
      <c r="B12" t="s">
        <v>21</v>
      </c>
      <c r="C12">
        <v>1267</v>
      </c>
      <c r="D12">
        <f>INT(C12/100)+1</f>
        <v>13</v>
      </c>
      <c r="E12">
        <v>1333</v>
      </c>
      <c r="F12" t="s">
        <v>22</v>
      </c>
      <c r="G12" t="s">
        <v>23</v>
      </c>
      <c r="H12">
        <f>C12+20</f>
        <v>1287</v>
      </c>
      <c r="I12">
        <f>INT(H12/100)+1</f>
        <v>13</v>
      </c>
      <c r="J12" t="b">
        <f>AND(I12=19,F12="France")</f>
        <v>0</v>
      </c>
      <c r="K12">
        <f>IF(E12-H12&gt;=50,1,0)</f>
        <v>0</v>
      </c>
      <c r="L12">
        <v>11</v>
      </c>
    </row>
    <row r="13" spans="1:12" x14ac:dyDescent="0.25">
      <c r="A13" t="s">
        <v>20</v>
      </c>
      <c r="B13" t="s">
        <v>21</v>
      </c>
      <c r="C13">
        <v>1277</v>
      </c>
      <c r="D13">
        <f>INT(C13/100)+1</f>
        <v>13</v>
      </c>
      <c r="E13">
        <v>1343</v>
      </c>
      <c r="F13" t="s">
        <v>22</v>
      </c>
      <c r="G13" t="s">
        <v>23</v>
      </c>
      <c r="H13">
        <f>C13+20</f>
        <v>1297</v>
      </c>
      <c r="I13">
        <f>INT(H13/100)+1</f>
        <v>13</v>
      </c>
      <c r="J13" t="b">
        <f>AND(I13=19,F13="France")</f>
        <v>0</v>
      </c>
      <c r="K13">
        <f>IF(E13-H13&gt;=50,1,0)</f>
        <v>0</v>
      </c>
      <c r="L13">
        <v>12</v>
      </c>
    </row>
    <row r="14" spans="1:12" x14ac:dyDescent="0.25">
      <c r="A14" t="s">
        <v>63</v>
      </c>
      <c r="B14" t="s">
        <v>64</v>
      </c>
      <c r="C14">
        <v>1305</v>
      </c>
      <c r="D14">
        <f>INT(C14/100)+1</f>
        <v>14</v>
      </c>
      <c r="E14">
        <v>1361</v>
      </c>
      <c r="F14" t="s">
        <v>65</v>
      </c>
      <c r="G14" t="s">
        <v>66</v>
      </c>
      <c r="H14">
        <f>C14+20</f>
        <v>1325</v>
      </c>
      <c r="I14">
        <f>INT(H14/100)+1</f>
        <v>14</v>
      </c>
      <c r="J14" t="b">
        <f>AND(I14=19,F14="France")</f>
        <v>0</v>
      </c>
      <c r="K14">
        <f>IF(E14-H14&gt;=50,1,0)</f>
        <v>0</v>
      </c>
      <c r="L14">
        <v>13</v>
      </c>
    </row>
    <row r="15" spans="1:12" x14ac:dyDescent="0.25">
      <c r="A15" t="s">
        <v>63</v>
      </c>
      <c r="B15" t="s">
        <v>64</v>
      </c>
      <c r="C15">
        <v>1315</v>
      </c>
      <c r="D15">
        <f>INT(C15/100)+1</f>
        <v>14</v>
      </c>
      <c r="E15">
        <v>1371</v>
      </c>
      <c r="F15" t="s">
        <v>65</v>
      </c>
      <c r="G15" t="s">
        <v>66</v>
      </c>
      <c r="H15">
        <f>C15+20</f>
        <v>1335</v>
      </c>
      <c r="I15">
        <f>INT(H15/100)+1</f>
        <v>14</v>
      </c>
      <c r="J15" t="b">
        <f>AND(I15=19,F15="France")</f>
        <v>0</v>
      </c>
      <c r="K15">
        <f>IF(E15-H15&gt;=50,1,0)</f>
        <v>0</v>
      </c>
      <c r="L15">
        <v>14</v>
      </c>
    </row>
    <row r="16" spans="1:12" x14ac:dyDescent="0.25">
      <c r="A16" t="s">
        <v>63</v>
      </c>
      <c r="B16" t="s">
        <v>64</v>
      </c>
      <c r="C16">
        <v>1325</v>
      </c>
      <c r="D16">
        <f>INT(C16/100)+1</f>
        <v>14</v>
      </c>
      <c r="E16">
        <v>1381</v>
      </c>
      <c r="F16" t="s">
        <v>65</v>
      </c>
      <c r="G16" t="s">
        <v>66</v>
      </c>
      <c r="H16">
        <f>C16+20</f>
        <v>1345</v>
      </c>
      <c r="I16">
        <f>INT(H16/100)+1</f>
        <v>14</v>
      </c>
      <c r="J16" t="b">
        <f>AND(I16=19,F16="France")</f>
        <v>0</v>
      </c>
      <c r="K16">
        <f>IF(E16-H16&gt;=50,1,0)</f>
        <v>0</v>
      </c>
      <c r="L16">
        <v>15</v>
      </c>
    </row>
    <row r="17" spans="1:12" x14ac:dyDescent="0.25">
      <c r="A17" t="s">
        <v>63</v>
      </c>
      <c r="B17" t="s">
        <v>64</v>
      </c>
      <c r="C17">
        <v>1335</v>
      </c>
      <c r="D17">
        <f>INT(C17/100)+1</f>
        <v>14</v>
      </c>
      <c r="E17">
        <v>1391</v>
      </c>
      <c r="F17" t="s">
        <v>65</v>
      </c>
      <c r="G17" t="s">
        <v>66</v>
      </c>
      <c r="H17">
        <f>C17+20</f>
        <v>1355</v>
      </c>
      <c r="I17">
        <f>INT(H17/100)+1</f>
        <v>14</v>
      </c>
      <c r="J17" t="b">
        <f>AND(I17=19,F17="France")</f>
        <v>0</v>
      </c>
      <c r="K17">
        <f>IF(E17-H17&gt;=50,1,0)</f>
        <v>0</v>
      </c>
      <c r="L17">
        <v>16</v>
      </c>
    </row>
    <row r="18" spans="1:12" x14ac:dyDescent="0.25">
      <c r="A18" t="s">
        <v>67</v>
      </c>
      <c r="B18" t="s">
        <v>68</v>
      </c>
      <c r="C18">
        <v>1343</v>
      </c>
      <c r="D18">
        <f>INT(C18/100)+1</f>
        <v>14</v>
      </c>
      <c r="E18">
        <v>1400</v>
      </c>
      <c r="F18" t="s">
        <v>8</v>
      </c>
      <c r="G18" t="s">
        <v>69</v>
      </c>
      <c r="H18">
        <f>C18+20</f>
        <v>1363</v>
      </c>
      <c r="I18">
        <f>INT(H18/100)+1</f>
        <v>14</v>
      </c>
      <c r="J18" t="b">
        <f>AND(I18=19,F18="France")</f>
        <v>0</v>
      </c>
      <c r="K18">
        <f>IF(E18-H18&gt;=50,1,0)</f>
        <v>0</v>
      </c>
      <c r="L18">
        <v>17</v>
      </c>
    </row>
    <row r="19" spans="1:12" x14ac:dyDescent="0.25">
      <c r="A19" t="s">
        <v>67</v>
      </c>
      <c r="B19" t="s">
        <v>68</v>
      </c>
      <c r="C19">
        <v>1353</v>
      </c>
      <c r="D19">
        <f>INT(C19/100)+1</f>
        <v>14</v>
      </c>
      <c r="E19">
        <v>1410</v>
      </c>
      <c r="F19" t="s">
        <v>8</v>
      </c>
      <c r="G19" t="s">
        <v>69</v>
      </c>
      <c r="H19">
        <f>C19+20</f>
        <v>1373</v>
      </c>
      <c r="I19">
        <f>INT(H19/100)+1</f>
        <v>14</v>
      </c>
      <c r="J19" t="b">
        <f>AND(I19=19,F19="France")</f>
        <v>0</v>
      </c>
      <c r="K19">
        <f>IF(E19-H19&gt;=50,1,0)</f>
        <v>0</v>
      </c>
      <c r="L19">
        <v>18</v>
      </c>
    </row>
    <row r="20" spans="1:12" x14ac:dyDescent="0.25">
      <c r="A20" t="s">
        <v>67</v>
      </c>
      <c r="B20" t="s">
        <v>68</v>
      </c>
      <c r="C20">
        <v>1363</v>
      </c>
      <c r="D20">
        <f>INT(C20/100)+1</f>
        <v>14</v>
      </c>
      <c r="E20">
        <v>1420</v>
      </c>
      <c r="F20" t="s">
        <v>8</v>
      </c>
      <c r="G20" t="s">
        <v>69</v>
      </c>
      <c r="H20">
        <f>C20+20</f>
        <v>1383</v>
      </c>
      <c r="I20">
        <f>INT(H20/100)+1</f>
        <v>14</v>
      </c>
      <c r="J20" t="b">
        <f>AND(I20=19,F20="France")</f>
        <v>0</v>
      </c>
      <c r="K20">
        <f>IF(E20-H20&gt;=50,1,0)</f>
        <v>0</v>
      </c>
      <c r="L20">
        <v>19</v>
      </c>
    </row>
    <row r="21" spans="1:12" x14ac:dyDescent="0.25">
      <c r="A21" t="s">
        <v>67</v>
      </c>
      <c r="B21" t="s">
        <v>68</v>
      </c>
      <c r="C21">
        <v>1373</v>
      </c>
      <c r="D21">
        <f>INT(C21/100)+1</f>
        <v>14</v>
      </c>
      <c r="E21">
        <v>1430</v>
      </c>
      <c r="F21" t="s">
        <v>8</v>
      </c>
      <c r="G21" t="s">
        <v>69</v>
      </c>
      <c r="H21">
        <f>C21+20</f>
        <v>1393</v>
      </c>
      <c r="I21">
        <f>INT(H21/100)+1</f>
        <v>14</v>
      </c>
      <c r="J21" t="b">
        <f>AND(I21=19,F21="France")</f>
        <v>0</v>
      </c>
      <c r="K21">
        <f>IF(E21-H21&gt;=50,1,0)</f>
        <v>0</v>
      </c>
      <c r="L21">
        <v>20</v>
      </c>
    </row>
    <row r="22" spans="1:12" x14ac:dyDescent="0.25">
      <c r="A22" t="s">
        <v>67</v>
      </c>
      <c r="B22" t="s">
        <v>68</v>
      </c>
      <c r="C22">
        <v>1383</v>
      </c>
      <c r="D22">
        <f>INT(C22/100)+1</f>
        <v>14</v>
      </c>
      <c r="E22">
        <v>1440</v>
      </c>
      <c r="F22" t="s">
        <v>8</v>
      </c>
      <c r="G22" t="s">
        <v>69</v>
      </c>
      <c r="H22">
        <f>C22+20</f>
        <v>1403</v>
      </c>
      <c r="I22">
        <f>INT(H22/100)+1</f>
        <v>15</v>
      </c>
      <c r="J22" t="b">
        <f>AND(I22=19,F22="France")</f>
        <v>0</v>
      </c>
      <c r="K22">
        <f>IF(E22-H22&gt;=50,1,0)</f>
        <v>0</v>
      </c>
      <c r="L22">
        <v>21</v>
      </c>
    </row>
    <row r="23" spans="1:12" x14ac:dyDescent="0.25">
      <c r="A23" t="s">
        <v>67</v>
      </c>
      <c r="B23" t="s">
        <v>68</v>
      </c>
      <c r="C23">
        <v>1393</v>
      </c>
      <c r="D23">
        <f>INT(C23/100)+1</f>
        <v>14</v>
      </c>
      <c r="E23">
        <v>1450</v>
      </c>
      <c r="F23" t="s">
        <v>8</v>
      </c>
      <c r="G23" t="s">
        <v>69</v>
      </c>
      <c r="H23">
        <f>C23+20</f>
        <v>1413</v>
      </c>
      <c r="I23">
        <f>INT(H23/100)+1</f>
        <v>15</v>
      </c>
      <c r="J23" t="b">
        <f>AND(I23=19,F23="France")</f>
        <v>0</v>
      </c>
      <c r="K23">
        <f>IF(E23-H23&gt;=50,1,0)</f>
        <v>0</v>
      </c>
      <c r="L23">
        <v>22</v>
      </c>
    </row>
    <row r="24" spans="1:12" x14ac:dyDescent="0.25">
      <c r="A24" t="s">
        <v>67</v>
      </c>
      <c r="B24" t="s">
        <v>68</v>
      </c>
      <c r="C24">
        <v>1403</v>
      </c>
      <c r="D24">
        <f>INT(C24/100)+1</f>
        <v>15</v>
      </c>
      <c r="E24">
        <v>1460</v>
      </c>
      <c r="F24" t="s">
        <v>8</v>
      </c>
      <c r="G24" t="s">
        <v>69</v>
      </c>
      <c r="H24">
        <f>C24+20</f>
        <v>1423</v>
      </c>
      <c r="I24">
        <f>INT(H24/100)+1</f>
        <v>15</v>
      </c>
      <c r="J24" t="b">
        <f>AND(I24=19,F24="France")</f>
        <v>0</v>
      </c>
      <c r="K24">
        <f>IF(E24-H24&gt;=50,1,0)</f>
        <v>0</v>
      </c>
      <c r="L24">
        <v>23</v>
      </c>
    </row>
    <row r="25" spans="1:12" x14ac:dyDescent="0.25">
      <c r="A25" t="s">
        <v>67</v>
      </c>
      <c r="B25" t="s">
        <v>68</v>
      </c>
      <c r="C25">
        <v>1413</v>
      </c>
      <c r="D25">
        <f>INT(C25/100)+1</f>
        <v>15</v>
      </c>
      <c r="E25">
        <v>1470</v>
      </c>
      <c r="F25" t="s">
        <v>8</v>
      </c>
      <c r="G25" t="s">
        <v>69</v>
      </c>
      <c r="H25">
        <f>C25+20</f>
        <v>1433</v>
      </c>
      <c r="I25">
        <f>INT(H25/100)+1</f>
        <v>15</v>
      </c>
      <c r="J25" t="b">
        <f>AND(I25=19,F25="France")</f>
        <v>0</v>
      </c>
      <c r="K25">
        <f>IF(E25-H25&gt;=50,1,0)</f>
        <v>0</v>
      </c>
      <c r="L25">
        <v>24</v>
      </c>
    </row>
    <row r="26" spans="1:12" x14ac:dyDescent="0.25">
      <c r="A26" t="s">
        <v>38</v>
      </c>
      <c r="B26" t="s">
        <v>39</v>
      </c>
      <c r="C26">
        <v>1644</v>
      </c>
      <c r="D26">
        <f>INT(C26/100)+1</f>
        <v>17</v>
      </c>
      <c r="E26">
        <v>1694</v>
      </c>
      <c r="F26" t="s">
        <v>40</v>
      </c>
      <c r="G26" t="s">
        <v>41</v>
      </c>
      <c r="H26">
        <f>C26+20</f>
        <v>1664</v>
      </c>
      <c r="I26">
        <f>INT(H26/100)+1</f>
        <v>17</v>
      </c>
      <c r="J26" t="b">
        <f>AND(I26=19,F26="France")</f>
        <v>0</v>
      </c>
      <c r="K26">
        <f>IF(E26-H26&gt;=50,1,0)</f>
        <v>0</v>
      </c>
      <c r="L26">
        <v>25</v>
      </c>
    </row>
    <row r="27" spans="1:12" x14ac:dyDescent="0.25">
      <c r="A27" t="s">
        <v>38</v>
      </c>
      <c r="B27" t="s">
        <v>39</v>
      </c>
      <c r="C27">
        <v>1654</v>
      </c>
      <c r="D27">
        <f>INT(C27/100)+1</f>
        <v>17</v>
      </c>
      <c r="E27">
        <v>1704</v>
      </c>
      <c r="F27" t="s">
        <v>40</v>
      </c>
      <c r="G27" t="s">
        <v>41</v>
      </c>
      <c r="H27">
        <f>C27+20</f>
        <v>1674</v>
      </c>
      <c r="I27">
        <f>INT(H27/100)+1</f>
        <v>17</v>
      </c>
      <c r="J27" t="b">
        <f>AND(I27=19,F27="France")</f>
        <v>0</v>
      </c>
      <c r="K27">
        <f>IF(E27-H27&gt;=50,1,0)</f>
        <v>0</v>
      </c>
      <c r="L27">
        <v>26</v>
      </c>
    </row>
    <row r="28" spans="1:12" x14ac:dyDescent="0.25">
      <c r="A28" t="s">
        <v>38</v>
      </c>
      <c r="B28" t="s">
        <v>39</v>
      </c>
      <c r="C28">
        <v>1664</v>
      </c>
      <c r="D28">
        <f>INT(C28/100)+1</f>
        <v>17</v>
      </c>
      <c r="E28">
        <v>1714</v>
      </c>
      <c r="F28" t="s">
        <v>40</v>
      </c>
      <c r="G28" t="s">
        <v>41</v>
      </c>
      <c r="H28">
        <f>C28+20</f>
        <v>1684</v>
      </c>
      <c r="I28">
        <f>INT(H28/100)+1</f>
        <v>17</v>
      </c>
      <c r="J28" t="b">
        <f>AND(I28=19,F28="France")</f>
        <v>0</v>
      </c>
      <c r="K28">
        <f>IF(E28-H28&gt;=50,1,0)</f>
        <v>0</v>
      </c>
      <c r="L28">
        <v>27</v>
      </c>
    </row>
    <row r="29" spans="1:12" x14ac:dyDescent="0.25">
      <c r="A29" t="s">
        <v>38</v>
      </c>
      <c r="B29" t="s">
        <v>39</v>
      </c>
      <c r="C29">
        <v>1674</v>
      </c>
      <c r="D29">
        <f>INT(C29/100)+1</f>
        <v>17</v>
      </c>
      <c r="E29">
        <v>1724</v>
      </c>
      <c r="F29" t="s">
        <v>40</v>
      </c>
      <c r="G29" t="s">
        <v>41</v>
      </c>
      <c r="H29">
        <f>C29+20</f>
        <v>1694</v>
      </c>
      <c r="I29">
        <f>INT(H29/100)+1</f>
        <v>17</v>
      </c>
      <c r="J29" t="b">
        <f>AND(I29=19,F29="France")</f>
        <v>0</v>
      </c>
      <c r="K29">
        <f>IF(E29-H29&gt;=50,1,0)</f>
        <v>0</v>
      </c>
      <c r="L29">
        <v>28</v>
      </c>
    </row>
    <row r="30" spans="1:12" x14ac:dyDescent="0.25">
      <c r="A30" t="s">
        <v>38</v>
      </c>
      <c r="B30" t="s">
        <v>39</v>
      </c>
      <c r="C30">
        <v>1684</v>
      </c>
      <c r="D30">
        <f>INT(C30/100)+1</f>
        <v>17</v>
      </c>
      <c r="E30">
        <v>1734</v>
      </c>
      <c r="F30" t="s">
        <v>40</v>
      </c>
      <c r="G30" t="s">
        <v>41</v>
      </c>
      <c r="H30">
        <f>C30+20</f>
        <v>1704</v>
      </c>
      <c r="I30">
        <f>INT(H30/100)+1</f>
        <v>18</v>
      </c>
      <c r="J30" t="b">
        <f>AND(I30=19,F30="France")</f>
        <v>0</v>
      </c>
      <c r="K30">
        <f>IF(E30-H30&gt;=50,1,0)</f>
        <v>0</v>
      </c>
      <c r="L30">
        <v>29</v>
      </c>
    </row>
    <row r="31" spans="1:12" x14ac:dyDescent="0.25">
      <c r="A31" t="s">
        <v>38</v>
      </c>
      <c r="B31" t="s">
        <v>39</v>
      </c>
      <c r="C31">
        <v>1694</v>
      </c>
      <c r="D31">
        <f>INT(C31/100)+1</f>
        <v>17</v>
      </c>
      <c r="E31">
        <v>1744</v>
      </c>
      <c r="F31" t="s">
        <v>40</v>
      </c>
      <c r="G31" t="s">
        <v>41</v>
      </c>
      <c r="H31">
        <f>C31+20</f>
        <v>1714</v>
      </c>
      <c r="I31">
        <f>INT(H31/100)+1</f>
        <v>18</v>
      </c>
      <c r="J31" t="b">
        <f>AND(I31=19,F31="France")</f>
        <v>0</v>
      </c>
      <c r="K31">
        <f>IF(E31-H31&gt;=50,1,0)</f>
        <v>0</v>
      </c>
      <c r="L31">
        <v>30</v>
      </c>
    </row>
    <row r="32" spans="1:12" x14ac:dyDescent="0.25">
      <c r="A32" t="s">
        <v>38</v>
      </c>
      <c r="B32" t="s">
        <v>39</v>
      </c>
      <c r="C32">
        <v>1704</v>
      </c>
      <c r="D32">
        <f>INT(C32/100)+1</f>
        <v>18</v>
      </c>
      <c r="E32">
        <v>1754</v>
      </c>
      <c r="F32" t="s">
        <v>40</v>
      </c>
      <c r="G32" t="s">
        <v>41</v>
      </c>
      <c r="H32">
        <f>C32+20</f>
        <v>1724</v>
      </c>
      <c r="I32">
        <f>INT(H32/100)+1</f>
        <v>18</v>
      </c>
      <c r="J32" t="b">
        <f>AND(I32=19,F32="France")</f>
        <v>0</v>
      </c>
      <c r="K32">
        <f>IF(E32-H32&gt;=50,1,0)</f>
        <v>0</v>
      </c>
      <c r="L32">
        <v>31</v>
      </c>
    </row>
    <row r="33" spans="1:12" x14ac:dyDescent="0.25">
      <c r="A33" t="s">
        <v>38</v>
      </c>
      <c r="B33" t="s">
        <v>39</v>
      </c>
      <c r="C33">
        <v>1714</v>
      </c>
      <c r="D33">
        <f>INT(C33/100)+1</f>
        <v>18</v>
      </c>
      <c r="E33">
        <v>1764</v>
      </c>
      <c r="F33" t="s">
        <v>40</v>
      </c>
      <c r="G33" t="s">
        <v>41</v>
      </c>
      <c r="H33">
        <f>C33+20</f>
        <v>1734</v>
      </c>
      <c r="I33">
        <f>INT(H33/100)+1</f>
        <v>18</v>
      </c>
      <c r="J33" t="b">
        <f>AND(I33=19,F33="France")</f>
        <v>0</v>
      </c>
      <c r="K33">
        <f>IF(E33-H33&gt;=50,1,0)</f>
        <v>0</v>
      </c>
      <c r="L33">
        <v>32</v>
      </c>
    </row>
    <row r="34" spans="1:12" x14ac:dyDescent="0.25">
      <c r="A34" t="s">
        <v>70</v>
      </c>
      <c r="B34" t="s">
        <v>71</v>
      </c>
      <c r="C34">
        <v>1788</v>
      </c>
      <c r="D34">
        <f>INT(C34/100)+1</f>
        <v>18</v>
      </c>
      <c r="E34">
        <v>1824</v>
      </c>
      <c r="F34" t="s">
        <v>8</v>
      </c>
      <c r="G34" t="s">
        <v>44</v>
      </c>
      <c r="H34">
        <f>C34+20</f>
        <v>1808</v>
      </c>
      <c r="I34">
        <f>INT(H34/100)+1</f>
        <v>19</v>
      </c>
      <c r="J34" t="b">
        <f>AND(I34=19,F34="France")</f>
        <v>0</v>
      </c>
      <c r="K34">
        <f>IF(E34-H34&gt;=50,1,0)</f>
        <v>0</v>
      </c>
      <c r="L34">
        <v>33</v>
      </c>
    </row>
    <row r="35" spans="1:12" x14ac:dyDescent="0.25">
      <c r="A35" t="s">
        <v>42</v>
      </c>
      <c r="B35" t="s">
        <v>43</v>
      </c>
      <c r="C35">
        <v>1795</v>
      </c>
      <c r="D35">
        <f>INT(C35/100)+1</f>
        <v>18</v>
      </c>
      <c r="E35">
        <v>1821</v>
      </c>
      <c r="F35" t="s">
        <v>8</v>
      </c>
      <c r="G35" t="s">
        <v>44</v>
      </c>
      <c r="H35">
        <f>C35+20</f>
        <v>1815</v>
      </c>
      <c r="I35">
        <f>INT(H35/100)+1</f>
        <v>19</v>
      </c>
      <c r="J35" t="b">
        <f>AND(I35=19,F35="France")</f>
        <v>0</v>
      </c>
      <c r="K35">
        <f>IF(E35-H35&gt;=50,1,0)</f>
        <v>0</v>
      </c>
      <c r="L35">
        <v>34</v>
      </c>
    </row>
    <row r="36" spans="1:12" x14ac:dyDescent="0.25">
      <c r="A36" t="s">
        <v>70</v>
      </c>
      <c r="B36" t="s">
        <v>71</v>
      </c>
      <c r="C36">
        <v>1798</v>
      </c>
      <c r="D36">
        <f>INT(C36/100)+1</f>
        <v>18</v>
      </c>
      <c r="E36">
        <v>1834</v>
      </c>
      <c r="F36" t="s">
        <v>8</v>
      </c>
      <c r="G36" t="s">
        <v>44</v>
      </c>
      <c r="H36">
        <f>C36+20</f>
        <v>1818</v>
      </c>
      <c r="I36">
        <f>INT(H36/100)+1</f>
        <v>19</v>
      </c>
      <c r="J36" t="b">
        <f>AND(I36=19,F36="France")</f>
        <v>0</v>
      </c>
      <c r="K36">
        <f>IF(E36-H36&gt;=50,1,0)</f>
        <v>0</v>
      </c>
      <c r="L36">
        <v>35</v>
      </c>
    </row>
    <row r="37" spans="1:12" x14ac:dyDescent="0.25">
      <c r="A37" t="s">
        <v>6</v>
      </c>
      <c r="B37" t="s">
        <v>7</v>
      </c>
      <c r="C37">
        <v>1770</v>
      </c>
      <c r="D37">
        <f>INT(C37/100)+1</f>
        <v>18</v>
      </c>
      <c r="E37">
        <v>1850</v>
      </c>
      <c r="F37" t="s">
        <v>8</v>
      </c>
      <c r="G37" t="s">
        <v>9</v>
      </c>
      <c r="H37">
        <f>C37+20</f>
        <v>1790</v>
      </c>
      <c r="I37">
        <f>INT(H37/100)+1</f>
        <v>18</v>
      </c>
      <c r="J37" t="b">
        <f>AND(I37=19,F37="France")</f>
        <v>0</v>
      </c>
      <c r="K37">
        <f>IF(E37-H37&gt;=50,1,0)</f>
        <v>1</v>
      </c>
      <c r="L37">
        <v>36</v>
      </c>
    </row>
    <row r="38" spans="1:12" x14ac:dyDescent="0.25">
      <c r="A38" t="s">
        <v>6</v>
      </c>
      <c r="B38" t="s">
        <v>7</v>
      </c>
      <c r="C38">
        <v>1780</v>
      </c>
      <c r="D38">
        <f>INT(C38/100)+1</f>
        <v>18</v>
      </c>
      <c r="E38">
        <v>1860</v>
      </c>
      <c r="F38" t="s">
        <v>8</v>
      </c>
      <c r="G38" t="s">
        <v>9</v>
      </c>
      <c r="H38">
        <f>C38+20</f>
        <v>1800</v>
      </c>
      <c r="I38">
        <f>INT(H38/100)+1</f>
        <v>19</v>
      </c>
      <c r="J38" t="b">
        <f>AND(I38=19,F38="France")</f>
        <v>0</v>
      </c>
      <c r="K38">
        <f>IF(E38-H38&gt;=50,1,0)</f>
        <v>1</v>
      </c>
      <c r="L38">
        <v>37</v>
      </c>
    </row>
    <row r="39" spans="1:12" x14ac:dyDescent="0.25">
      <c r="A39" t="s">
        <v>6</v>
      </c>
      <c r="B39" t="s">
        <v>7</v>
      </c>
      <c r="C39">
        <v>1790</v>
      </c>
      <c r="D39">
        <f>INT(C39/100)+1</f>
        <v>18</v>
      </c>
      <c r="E39">
        <v>1870</v>
      </c>
      <c r="F39" t="s">
        <v>8</v>
      </c>
      <c r="G39" t="s">
        <v>9</v>
      </c>
      <c r="H39">
        <f>C39+20</f>
        <v>1810</v>
      </c>
      <c r="I39">
        <f>INT(H39/100)+1</f>
        <v>19</v>
      </c>
      <c r="J39" t="b">
        <f>AND(I39=19,F39="France")</f>
        <v>0</v>
      </c>
      <c r="K39">
        <f>IF(E39-H39&gt;=50,1,0)</f>
        <v>1</v>
      </c>
      <c r="L39">
        <v>38</v>
      </c>
    </row>
    <row r="40" spans="1:12" x14ac:dyDescent="0.25">
      <c r="A40" t="s">
        <v>81</v>
      </c>
      <c r="B40" t="s">
        <v>82</v>
      </c>
      <c r="C40">
        <v>1749</v>
      </c>
      <c r="D40">
        <f>INT(C40/100)+1</f>
        <v>18</v>
      </c>
      <c r="E40">
        <v>1832</v>
      </c>
      <c r="F40" t="s">
        <v>83</v>
      </c>
      <c r="G40" t="s">
        <v>84</v>
      </c>
      <c r="H40">
        <f>C40+20</f>
        <v>1769</v>
      </c>
      <c r="I40">
        <f>INT(H40/100)+1</f>
        <v>18</v>
      </c>
      <c r="J40" t="b">
        <f>AND(I40=19,F40="France")</f>
        <v>0</v>
      </c>
      <c r="K40">
        <f>IF(E40-H40&gt;=50,1,0)</f>
        <v>1</v>
      </c>
      <c r="L40">
        <v>39</v>
      </c>
    </row>
    <row r="41" spans="1:12" x14ac:dyDescent="0.25">
      <c r="A41" t="s">
        <v>81</v>
      </c>
      <c r="B41" t="s">
        <v>82</v>
      </c>
      <c r="C41">
        <v>1759</v>
      </c>
      <c r="D41">
        <f>INT(C41/100)+1</f>
        <v>18</v>
      </c>
      <c r="E41">
        <v>1842</v>
      </c>
      <c r="F41" t="s">
        <v>83</v>
      </c>
      <c r="G41" t="s">
        <v>84</v>
      </c>
      <c r="H41">
        <f>C41+20</f>
        <v>1779</v>
      </c>
      <c r="I41">
        <f>INT(H41/100)+1</f>
        <v>18</v>
      </c>
      <c r="J41" t="b">
        <f>AND(I41=19,F41="France")</f>
        <v>0</v>
      </c>
      <c r="K41">
        <f>IF(E41-H41&gt;=50,1,0)</f>
        <v>1</v>
      </c>
      <c r="L41">
        <v>40</v>
      </c>
    </row>
    <row r="42" spans="1:12" x14ac:dyDescent="0.25">
      <c r="A42" t="s">
        <v>81</v>
      </c>
      <c r="B42" t="s">
        <v>82</v>
      </c>
      <c r="C42">
        <v>1769</v>
      </c>
      <c r="D42">
        <f>INT(C42/100)+1</f>
        <v>18</v>
      </c>
      <c r="E42">
        <v>1852</v>
      </c>
      <c r="F42" t="s">
        <v>83</v>
      </c>
      <c r="G42" t="s">
        <v>84</v>
      </c>
      <c r="H42">
        <f>C42+20</f>
        <v>1789</v>
      </c>
      <c r="I42">
        <f>INT(H42/100)+1</f>
        <v>18</v>
      </c>
      <c r="J42" t="b">
        <f>AND(I42=19,F42="France")</f>
        <v>0</v>
      </c>
      <c r="K42">
        <f>IF(E42-H42&gt;=50,1,0)</f>
        <v>1</v>
      </c>
      <c r="L42">
        <v>41</v>
      </c>
    </row>
    <row r="43" spans="1:12" x14ac:dyDescent="0.25">
      <c r="A43" t="s">
        <v>81</v>
      </c>
      <c r="B43" t="s">
        <v>82</v>
      </c>
      <c r="C43">
        <v>1779</v>
      </c>
      <c r="D43">
        <f>INT(C43/100)+1</f>
        <v>18</v>
      </c>
      <c r="E43">
        <v>1862</v>
      </c>
      <c r="F43" t="s">
        <v>83</v>
      </c>
      <c r="G43" t="s">
        <v>84</v>
      </c>
      <c r="H43">
        <f>C43+20</f>
        <v>1799</v>
      </c>
      <c r="I43">
        <f>INT(H43/100)+1</f>
        <v>18</v>
      </c>
      <c r="J43" t="b">
        <f>AND(I43=19,F43="France")</f>
        <v>0</v>
      </c>
      <c r="K43">
        <f>IF(E43-H43&gt;=50,1,0)</f>
        <v>1</v>
      </c>
      <c r="L43">
        <v>42</v>
      </c>
    </row>
    <row r="44" spans="1:12" x14ac:dyDescent="0.25">
      <c r="A44" t="s">
        <v>81</v>
      </c>
      <c r="B44" t="s">
        <v>82</v>
      </c>
      <c r="C44">
        <v>1789</v>
      </c>
      <c r="D44">
        <f>INT(C44/100)+1</f>
        <v>18</v>
      </c>
      <c r="E44">
        <v>1872</v>
      </c>
      <c r="F44" t="s">
        <v>83</v>
      </c>
      <c r="G44" t="s">
        <v>84</v>
      </c>
      <c r="H44">
        <f>C44+20</f>
        <v>1809</v>
      </c>
      <c r="I44">
        <f>INT(H44/100)+1</f>
        <v>19</v>
      </c>
      <c r="J44" t="b">
        <f>AND(I44=19,F44="France")</f>
        <v>0</v>
      </c>
      <c r="K44">
        <f>IF(E44-H44&gt;=50,1,0)</f>
        <v>1</v>
      </c>
      <c r="L44">
        <v>43</v>
      </c>
    </row>
    <row r="45" spans="1:12" x14ac:dyDescent="0.25">
      <c r="A45" t="s">
        <v>81</v>
      </c>
      <c r="B45" t="s">
        <v>82</v>
      </c>
      <c r="C45">
        <v>1799</v>
      </c>
      <c r="D45">
        <f>INT(C45/100)+1</f>
        <v>18</v>
      </c>
      <c r="E45">
        <v>1882</v>
      </c>
      <c r="F45" t="s">
        <v>83</v>
      </c>
      <c r="G45" t="s">
        <v>84</v>
      </c>
      <c r="H45">
        <f>C45+20</f>
        <v>1819</v>
      </c>
      <c r="I45">
        <f>INT(H45/100)+1</f>
        <v>19</v>
      </c>
      <c r="J45" t="b">
        <f>AND(I45=19,F45="France")</f>
        <v>0</v>
      </c>
      <c r="K45">
        <f>IF(E45-H45&gt;=50,1,0)</f>
        <v>1</v>
      </c>
      <c r="L45">
        <v>44</v>
      </c>
    </row>
    <row r="46" spans="1:12" x14ac:dyDescent="0.25">
      <c r="A46" t="s">
        <v>72</v>
      </c>
      <c r="B46" t="s">
        <v>73</v>
      </c>
      <c r="C46">
        <v>1854</v>
      </c>
      <c r="D46">
        <f>INT(C46/100)+1</f>
        <v>19</v>
      </c>
      <c r="E46">
        <v>1900</v>
      </c>
      <c r="F46" t="s">
        <v>74</v>
      </c>
      <c r="G46" t="s">
        <v>75</v>
      </c>
      <c r="H46">
        <f>C46+20</f>
        <v>1874</v>
      </c>
      <c r="I46">
        <f>INT(H46/100)+1</f>
        <v>19</v>
      </c>
      <c r="J46" t="b">
        <f>AND(I46=19,F46="France")</f>
        <v>0</v>
      </c>
      <c r="K46">
        <f>IF(E46-H46&gt;=50,1,0)</f>
        <v>0</v>
      </c>
      <c r="L46">
        <v>45</v>
      </c>
    </row>
    <row r="47" spans="1:12" x14ac:dyDescent="0.25">
      <c r="A47" t="s">
        <v>72</v>
      </c>
      <c r="B47" t="s">
        <v>73</v>
      </c>
      <c r="C47">
        <v>1864</v>
      </c>
      <c r="D47">
        <f>INT(C47/100)+1</f>
        <v>19</v>
      </c>
      <c r="E47">
        <v>1910</v>
      </c>
      <c r="F47" t="s">
        <v>74</v>
      </c>
      <c r="G47" t="s">
        <v>75</v>
      </c>
      <c r="H47">
        <f>C47+20</f>
        <v>1884</v>
      </c>
      <c r="I47">
        <f>INT(H47/100)+1</f>
        <v>19</v>
      </c>
      <c r="J47" t="b">
        <f>AND(I47=19,F47="France")</f>
        <v>0</v>
      </c>
      <c r="K47">
        <f>IF(E47-H47&gt;=50,1,0)</f>
        <v>0</v>
      </c>
      <c r="L47">
        <v>46</v>
      </c>
    </row>
    <row r="48" spans="1:12" x14ac:dyDescent="0.25">
      <c r="A48" t="s">
        <v>72</v>
      </c>
      <c r="B48" t="s">
        <v>73</v>
      </c>
      <c r="C48">
        <v>1874</v>
      </c>
      <c r="D48">
        <f>INT(C48/100)+1</f>
        <v>19</v>
      </c>
      <c r="E48">
        <v>1920</v>
      </c>
      <c r="F48" t="s">
        <v>74</v>
      </c>
      <c r="G48" t="s">
        <v>75</v>
      </c>
      <c r="H48">
        <f>C48+20</f>
        <v>1894</v>
      </c>
      <c r="I48">
        <f>INT(H48/100)+1</f>
        <v>19</v>
      </c>
      <c r="J48" t="b">
        <f>AND(I48=19,F48="France")</f>
        <v>0</v>
      </c>
      <c r="K48">
        <f>IF(E48-H48&gt;=50,1,0)</f>
        <v>0</v>
      </c>
      <c r="L48">
        <v>47</v>
      </c>
    </row>
    <row r="49" spans="1:12" x14ac:dyDescent="0.25">
      <c r="A49" t="s">
        <v>72</v>
      </c>
      <c r="B49" t="s">
        <v>73</v>
      </c>
      <c r="C49">
        <v>1884</v>
      </c>
      <c r="D49">
        <f>INT(C49/100)+1</f>
        <v>19</v>
      </c>
      <c r="E49">
        <v>1930</v>
      </c>
      <c r="F49" t="s">
        <v>74</v>
      </c>
      <c r="G49" t="s">
        <v>75</v>
      </c>
      <c r="H49">
        <f>C49+20</f>
        <v>1904</v>
      </c>
      <c r="I49">
        <f>INT(H49/100)+1</f>
        <v>20</v>
      </c>
      <c r="J49" t="b">
        <f>AND(I49=19,F49="France")</f>
        <v>0</v>
      </c>
      <c r="K49">
        <f>IF(E49-H49&gt;=50,1,0)</f>
        <v>0</v>
      </c>
      <c r="L49">
        <v>48</v>
      </c>
    </row>
    <row r="50" spans="1:12" x14ac:dyDescent="0.25">
      <c r="A50" t="s">
        <v>72</v>
      </c>
      <c r="B50" t="s">
        <v>73</v>
      </c>
      <c r="C50">
        <v>1894</v>
      </c>
      <c r="D50">
        <f>INT(C50/100)+1</f>
        <v>19</v>
      </c>
      <c r="E50">
        <v>1940</v>
      </c>
      <c r="F50" t="s">
        <v>74</v>
      </c>
      <c r="G50" t="s">
        <v>75</v>
      </c>
      <c r="H50">
        <f>C50+20</f>
        <v>1914</v>
      </c>
      <c r="I50">
        <f>INT(H50/100)+1</f>
        <v>20</v>
      </c>
      <c r="J50" t="b">
        <f>AND(I50=19,F50="France")</f>
        <v>0</v>
      </c>
      <c r="K50">
        <f>IF(E50-H50&gt;=50,1,0)</f>
        <v>0</v>
      </c>
      <c r="L50">
        <v>49</v>
      </c>
    </row>
    <row r="51" spans="1:12" x14ac:dyDescent="0.25">
      <c r="A51" t="s">
        <v>31</v>
      </c>
      <c r="B51" t="s">
        <v>32</v>
      </c>
      <c r="C51">
        <v>1861</v>
      </c>
      <c r="D51">
        <f>INT(C51/100)+1</f>
        <v>19</v>
      </c>
      <c r="E51">
        <v>1941</v>
      </c>
      <c r="F51" t="s">
        <v>33</v>
      </c>
      <c r="G51" t="s">
        <v>34</v>
      </c>
      <c r="H51">
        <f>C51+20</f>
        <v>1881</v>
      </c>
      <c r="I51">
        <f>INT(H51/100)+1</f>
        <v>19</v>
      </c>
      <c r="J51" t="b">
        <f>AND(I51=19,F51="France")</f>
        <v>0</v>
      </c>
      <c r="K51">
        <f>IF(E51-H51&gt;=50,1,0)</f>
        <v>1</v>
      </c>
      <c r="L51">
        <v>50</v>
      </c>
    </row>
    <row r="52" spans="1:12" x14ac:dyDescent="0.25">
      <c r="A52" t="s">
        <v>31</v>
      </c>
      <c r="B52" t="s">
        <v>32</v>
      </c>
      <c r="C52">
        <v>1871</v>
      </c>
      <c r="D52">
        <f>INT(C52/100)+1</f>
        <v>19</v>
      </c>
      <c r="E52">
        <v>1951</v>
      </c>
      <c r="F52" t="s">
        <v>33</v>
      </c>
      <c r="G52" t="s">
        <v>34</v>
      </c>
      <c r="H52">
        <f>C52+20</f>
        <v>1891</v>
      </c>
      <c r="I52">
        <f>INT(H52/100)+1</f>
        <v>19</v>
      </c>
      <c r="J52" t="b">
        <f>AND(I52=19,F52="France")</f>
        <v>0</v>
      </c>
      <c r="K52">
        <f>IF(E52-H52&gt;=50,1,0)</f>
        <v>1</v>
      </c>
      <c r="L52">
        <v>51</v>
      </c>
    </row>
    <row r="53" spans="1:12" x14ac:dyDescent="0.25">
      <c r="A53" t="s">
        <v>31</v>
      </c>
      <c r="B53" t="s">
        <v>32</v>
      </c>
      <c r="C53">
        <v>1881</v>
      </c>
      <c r="D53">
        <f>INT(C53/100)+1</f>
        <v>19</v>
      </c>
      <c r="E53">
        <v>1961</v>
      </c>
      <c r="F53" t="s">
        <v>33</v>
      </c>
      <c r="G53" t="s">
        <v>34</v>
      </c>
      <c r="H53">
        <f>C53+20</f>
        <v>1901</v>
      </c>
      <c r="I53">
        <f>INT(H53/100)+1</f>
        <v>20</v>
      </c>
      <c r="J53" t="b">
        <f>AND(I53=19,F53="France")</f>
        <v>0</v>
      </c>
      <c r="K53">
        <f>IF(E53-H53&gt;=50,1,0)</f>
        <v>1</v>
      </c>
      <c r="L53">
        <v>52</v>
      </c>
    </row>
    <row r="54" spans="1:12" x14ac:dyDescent="0.25">
      <c r="A54" t="s">
        <v>31</v>
      </c>
      <c r="B54" t="s">
        <v>32</v>
      </c>
      <c r="C54">
        <v>1891</v>
      </c>
      <c r="D54">
        <f>INT(C54/100)+1</f>
        <v>19</v>
      </c>
      <c r="E54">
        <v>1971</v>
      </c>
      <c r="F54" t="s">
        <v>33</v>
      </c>
      <c r="G54" t="s">
        <v>34</v>
      </c>
      <c r="H54">
        <f>C54+20</f>
        <v>1911</v>
      </c>
      <c r="I54">
        <f>INT(H54/100)+1</f>
        <v>20</v>
      </c>
      <c r="J54" t="b">
        <f>AND(I54=19,F54="France")</f>
        <v>0</v>
      </c>
      <c r="K54">
        <f>IF(E54-H54&gt;=50,1,0)</f>
        <v>1</v>
      </c>
      <c r="L54">
        <v>53</v>
      </c>
    </row>
    <row r="55" spans="1:12" x14ac:dyDescent="0.25">
      <c r="A55" t="s">
        <v>58</v>
      </c>
      <c r="B55" t="s">
        <v>59</v>
      </c>
      <c r="C55">
        <v>1809</v>
      </c>
      <c r="D55">
        <f>INT(C55/100)+1</f>
        <v>19</v>
      </c>
      <c r="E55">
        <v>1849</v>
      </c>
      <c r="F55" t="s">
        <v>12</v>
      </c>
      <c r="G55" t="s">
        <v>60</v>
      </c>
      <c r="H55">
        <f>C55+20</f>
        <v>1829</v>
      </c>
      <c r="I55">
        <f>INT(H55/100)+1</f>
        <v>19</v>
      </c>
      <c r="J55" t="b">
        <f>AND(I55=19,F55="France")</f>
        <v>0</v>
      </c>
      <c r="K55">
        <f>IF(E55-H55&gt;=50,1,0)</f>
        <v>0</v>
      </c>
      <c r="L55">
        <v>54</v>
      </c>
    </row>
    <row r="56" spans="1:12" x14ac:dyDescent="0.25">
      <c r="A56" t="s">
        <v>58</v>
      </c>
      <c r="B56" t="s">
        <v>59</v>
      </c>
      <c r="C56">
        <v>1819</v>
      </c>
      <c r="D56">
        <f>INT(C56/100)+1</f>
        <v>19</v>
      </c>
      <c r="E56">
        <v>1859</v>
      </c>
      <c r="F56" t="s">
        <v>12</v>
      </c>
      <c r="G56" t="s">
        <v>60</v>
      </c>
      <c r="H56">
        <f>C56+20</f>
        <v>1839</v>
      </c>
      <c r="I56">
        <f>INT(H56/100)+1</f>
        <v>19</v>
      </c>
      <c r="J56" t="b">
        <f>AND(I56=19,F56="France")</f>
        <v>0</v>
      </c>
      <c r="K56">
        <f>IF(E56-H56&gt;=50,1,0)</f>
        <v>0</v>
      </c>
      <c r="L56">
        <v>55</v>
      </c>
    </row>
    <row r="57" spans="1:12" x14ac:dyDescent="0.25">
      <c r="A57" t="s">
        <v>58</v>
      </c>
      <c r="B57" t="s">
        <v>59</v>
      </c>
      <c r="C57">
        <v>1829</v>
      </c>
      <c r="D57">
        <f>INT(C57/100)+1</f>
        <v>19</v>
      </c>
      <c r="E57">
        <v>1869</v>
      </c>
      <c r="F57" t="s">
        <v>12</v>
      </c>
      <c r="G57" t="s">
        <v>60</v>
      </c>
      <c r="H57">
        <f>C57+20</f>
        <v>1849</v>
      </c>
      <c r="I57">
        <f>INT(H57/100)+1</f>
        <v>19</v>
      </c>
      <c r="J57" t="b">
        <f>AND(I57=19,F57="France")</f>
        <v>0</v>
      </c>
      <c r="K57">
        <f>IF(E57-H57&gt;=50,1,0)</f>
        <v>0</v>
      </c>
      <c r="L57">
        <v>56</v>
      </c>
    </row>
    <row r="58" spans="1:12" x14ac:dyDescent="0.25">
      <c r="A58" t="s">
        <v>58</v>
      </c>
      <c r="B58" t="s">
        <v>59</v>
      </c>
      <c r="C58">
        <v>1839</v>
      </c>
      <c r="D58">
        <f>INT(C58/100)+1</f>
        <v>19</v>
      </c>
      <c r="E58">
        <v>1879</v>
      </c>
      <c r="F58" t="s">
        <v>12</v>
      </c>
      <c r="G58" t="s">
        <v>60</v>
      </c>
      <c r="H58">
        <f>C58+20</f>
        <v>1859</v>
      </c>
      <c r="I58">
        <f>INT(H58/100)+1</f>
        <v>19</v>
      </c>
      <c r="J58" t="b">
        <f>AND(I58=19,F58="France")</f>
        <v>0</v>
      </c>
      <c r="K58">
        <f>IF(E58-H58&gt;=50,1,0)</f>
        <v>0</v>
      </c>
      <c r="L58">
        <v>57</v>
      </c>
    </row>
    <row r="59" spans="1:12" x14ac:dyDescent="0.25">
      <c r="A59" t="s">
        <v>58</v>
      </c>
      <c r="B59" t="s">
        <v>59</v>
      </c>
      <c r="C59">
        <v>1849</v>
      </c>
      <c r="D59">
        <f>INT(C59/100)+1</f>
        <v>19</v>
      </c>
      <c r="E59">
        <v>1889</v>
      </c>
      <c r="F59" t="s">
        <v>12</v>
      </c>
      <c r="G59" t="s">
        <v>60</v>
      </c>
      <c r="H59">
        <f>C59+20</f>
        <v>1869</v>
      </c>
      <c r="I59">
        <f>INT(H59/100)+1</f>
        <v>19</v>
      </c>
      <c r="J59" t="b">
        <f>AND(I59=19,F59="France")</f>
        <v>0</v>
      </c>
      <c r="K59">
        <f>IF(E59-H59&gt;=50,1,0)</f>
        <v>0</v>
      </c>
      <c r="L59">
        <v>58</v>
      </c>
    </row>
    <row r="60" spans="1:12" x14ac:dyDescent="0.25">
      <c r="A60" t="s">
        <v>58</v>
      </c>
      <c r="B60" t="s">
        <v>59</v>
      </c>
      <c r="C60">
        <v>1859</v>
      </c>
      <c r="D60">
        <f>INT(C60/100)+1</f>
        <v>19</v>
      </c>
      <c r="E60">
        <v>1899</v>
      </c>
      <c r="F60" t="s">
        <v>12</v>
      </c>
      <c r="G60" t="s">
        <v>60</v>
      </c>
      <c r="H60">
        <f>C60+20</f>
        <v>1879</v>
      </c>
      <c r="I60">
        <f>INT(H60/100)+1</f>
        <v>19</v>
      </c>
      <c r="J60" t="b">
        <f>AND(I60=19,F60="France")</f>
        <v>0</v>
      </c>
      <c r="K60">
        <f>IF(E60-H60&gt;=50,1,0)</f>
        <v>0</v>
      </c>
      <c r="L60">
        <v>59</v>
      </c>
    </row>
    <row r="61" spans="1:12" x14ac:dyDescent="0.25">
      <c r="A61" t="s">
        <v>58</v>
      </c>
      <c r="B61" t="s">
        <v>59</v>
      </c>
      <c r="C61">
        <v>1869</v>
      </c>
      <c r="D61">
        <f>INT(C61/100)+1</f>
        <v>19</v>
      </c>
      <c r="E61">
        <v>1909</v>
      </c>
      <c r="F61" t="s">
        <v>12</v>
      </c>
      <c r="G61" t="s">
        <v>60</v>
      </c>
      <c r="H61">
        <f>C61+20</f>
        <v>1889</v>
      </c>
      <c r="I61">
        <f>INT(H61/100)+1</f>
        <v>19</v>
      </c>
      <c r="J61" t="b">
        <f>AND(I61=19,F61="France")</f>
        <v>0</v>
      </c>
      <c r="K61">
        <f>IF(E61-H61&gt;=50,1,0)</f>
        <v>0</v>
      </c>
      <c r="L61">
        <v>60</v>
      </c>
    </row>
    <row r="62" spans="1:12" x14ac:dyDescent="0.25">
      <c r="A62" t="s">
        <v>58</v>
      </c>
      <c r="B62" t="s">
        <v>59</v>
      </c>
      <c r="C62">
        <v>1879</v>
      </c>
      <c r="D62">
        <f>INT(C62/100)+1</f>
        <v>19</v>
      </c>
      <c r="E62">
        <v>1919</v>
      </c>
      <c r="F62" t="s">
        <v>12</v>
      </c>
      <c r="G62" t="s">
        <v>60</v>
      </c>
      <c r="H62">
        <f>C62+20</f>
        <v>1899</v>
      </c>
      <c r="I62">
        <f>INT(H62/100)+1</f>
        <v>19</v>
      </c>
      <c r="J62" t="b">
        <f>AND(I62=19,F62="France")</f>
        <v>0</v>
      </c>
      <c r="K62">
        <f>IF(E62-H62&gt;=50,1,0)</f>
        <v>0</v>
      </c>
      <c r="L62">
        <v>61</v>
      </c>
    </row>
    <row r="63" spans="1:12" x14ac:dyDescent="0.25">
      <c r="A63" t="s">
        <v>17</v>
      </c>
      <c r="B63" t="s">
        <v>18</v>
      </c>
      <c r="C63">
        <v>1830</v>
      </c>
      <c r="D63">
        <f>INT(C63/100)+1</f>
        <v>19</v>
      </c>
      <c r="E63">
        <v>1886</v>
      </c>
      <c r="F63" t="s">
        <v>12</v>
      </c>
      <c r="G63" t="s">
        <v>19</v>
      </c>
      <c r="H63">
        <f>C63+20</f>
        <v>1850</v>
      </c>
      <c r="I63">
        <f>INT(H63/100)+1</f>
        <v>19</v>
      </c>
      <c r="J63" t="b">
        <f>AND(I63=19,F63="France")</f>
        <v>0</v>
      </c>
      <c r="K63">
        <f>IF(E63-H63&gt;=50,1,0)</f>
        <v>0</v>
      </c>
      <c r="L63">
        <v>62</v>
      </c>
    </row>
    <row r="64" spans="1:12" x14ac:dyDescent="0.25">
      <c r="A64" t="s">
        <v>17</v>
      </c>
      <c r="B64" t="s">
        <v>18</v>
      </c>
      <c r="C64">
        <v>1840</v>
      </c>
      <c r="D64">
        <f>INT(C64/100)+1</f>
        <v>19</v>
      </c>
      <c r="E64">
        <v>1896</v>
      </c>
      <c r="F64" t="s">
        <v>12</v>
      </c>
      <c r="G64" t="s">
        <v>19</v>
      </c>
      <c r="H64">
        <f>C64+20</f>
        <v>1860</v>
      </c>
      <c r="I64">
        <f>INT(H64/100)+1</f>
        <v>19</v>
      </c>
      <c r="J64" t="b">
        <f>AND(I64=19,F64="France")</f>
        <v>0</v>
      </c>
      <c r="K64">
        <f>IF(E64-H64&gt;=50,1,0)</f>
        <v>0</v>
      </c>
      <c r="L64">
        <v>63</v>
      </c>
    </row>
    <row r="65" spans="1:12" x14ac:dyDescent="0.25">
      <c r="A65" t="s">
        <v>17</v>
      </c>
      <c r="B65" t="s">
        <v>18</v>
      </c>
      <c r="C65">
        <v>1850</v>
      </c>
      <c r="D65">
        <f>INT(C65/100)+1</f>
        <v>19</v>
      </c>
      <c r="E65">
        <v>1906</v>
      </c>
      <c r="F65" t="s">
        <v>12</v>
      </c>
      <c r="G65" t="s">
        <v>19</v>
      </c>
      <c r="H65">
        <f>C65+20</f>
        <v>1870</v>
      </c>
      <c r="I65">
        <f>INT(H65/100)+1</f>
        <v>19</v>
      </c>
      <c r="J65" t="b">
        <f>AND(I65=19,F65="France")</f>
        <v>0</v>
      </c>
      <c r="K65">
        <f>IF(E65-H65&gt;=50,1,0)</f>
        <v>0</v>
      </c>
      <c r="L65">
        <v>64</v>
      </c>
    </row>
    <row r="66" spans="1:12" x14ac:dyDescent="0.25">
      <c r="A66" t="s">
        <v>17</v>
      </c>
      <c r="B66" t="s">
        <v>18</v>
      </c>
      <c r="C66">
        <v>1860</v>
      </c>
      <c r="D66">
        <f>INT(C66/100)+1</f>
        <v>19</v>
      </c>
      <c r="E66">
        <v>1916</v>
      </c>
      <c r="F66" t="s">
        <v>12</v>
      </c>
      <c r="G66" t="s">
        <v>19</v>
      </c>
      <c r="H66">
        <f>C66+20</f>
        <v>1880</v>
      </c>
      <c r="I66">
        <f>INT(H66/100)+1</f>
        <v>19</v>
      </c>
      <c r="J66" t="b">
        <f>AND(I66=19,F66="France")</f>
        <v>0</v>
      </c>
      <c r="K66">
        <f>IF(E66-H66&gt;=50,1,0)</f>
        <v>0</v>
      </c>
      <c r="L66">
        <v>65</v>
      </c>
    </row>
    <row r="67" spans="1:12" x14ac:dyDescent="0.25">
      <c r="A67" t="s">
        <v>17</v>
      </c>
      <c r="B67" t="s">
        <v>18</v>
      </c>
      <c r="C67">
        <v>1870</v>
      </c>
      <c r="D67">
        <f>INT(C67/100)+1</f>
        <v>19</v>
      </c>
      <c r="E67">
        <v>1926</v>
      </c>
      <c r="F67" t="s">
        <v>12</v>
      </c>
      <c r="G67" t="s">
        <v>19</v>
      </c>
      <c r="H67">
        <f>C67+20</f>
        <v>1890</v>
      </c>
      <c r="I67">
        <f>INT(H67/100)+1</f>
        <v>19</v>
      </c>
      <c r="J67" t="b">
        <f>AND(I67=19,F67="France")</f>
        <v>0</v>
      </c>
      <c r="K67">
        <f>IF(E67-H67&gt;=50,1,0)</f>
        <v>0</v>
      </c>
      <c r="L67">
        <v>66</v>
      </c>
    </row>
    <row r="68" spans="1:12" x14ac:dyDescent="0.25">
      <c r="A68" t="s">
        <v>17</v>
      </c>
      <c r="B68" t="s">
        <v>18</v>
      </c>
      <c r="C68">
        <v>1880</v>
      </c>
      <c r="D68">
        <f>INT(C68/100)+1</f>
        <v>19</v>
      </c>
      <c r="E68">
        <v>1936</v>
      </c>
      <c r="F68" t="s">
        <v>12</v>
      </c>
      <c r="G68" t="s">
        <v>19</v>
      </c>
      <c r="H68">
        <f>C68+20</f>
        <v>1900</v>
      </c>
      <c r="I68">
        <f>INT(H68/100)+1</f>
        <v>20</v>
      </c>
      <c r="J68" t="b">
        <f>AND(I68=19,F68="France")</f>
        <v>0</v>
      </c>
      <c r="K68">
        <f>IF(E68-H68&gt;=50,1,0)</f>
        <v>0</v>
      </c>
      <c r="L68">
        <v>67</v>
      </c>
    </row>
    <row r="69" spans="1:12" x14ac:dyDescent="0.25">
      <c r="A69" t="s">
        <v>17</v>
      </c>
      <c r="B69" t="s">
        <v>18</v>
      </c>
      <c r="C69">
        <v>1890</v>
      </c>
      <c r="D69">
        <f>INT(C69/100)+1</f>
        <v>19</v>
      </c>
      <c r="E69">
        <v>1946</v>
      </c>
      <c r="F69" t="s">
        <v>12</v>
      </c>
      <c r="G69" t="s">
        <v>19</v>
      </c>
      <c r="H69">
        <f>C69+20</f>
        <v>1910</v>
      </c>
      <c r="I69">
        <f>INT(H69/100)+1</f>
        <v>20</v>
      </c>
      <c r="J69" t="b">
        <f>AND(I69=19,F69="France")</f>
        <v>0</v>
      </c>
      <c r="K69">
        <f>IF(E69-H69&gt;=50,1,0)</f>
        <v>0</v>
      </c>
      <c r="L69">
        <v>68</v>
      </c>
    </row>
    <row r="70" spans="1:12" x14ac:dyDescent="0.25">
      <c r="A70" t="s">
        <v>76</v>
      </c>
      <c r="B70" t="s">
        <v>77</v>
      </c>
      <c r="C70">
        <v>1882</v>
      </c>
      <c r="D70">
        <f>INT(C70/100)+1</f>
        <v>19</v>
      </c>
      <c r="E70">
        <v>1941</v>
      </c>
      <c r="F70" t="s">
        <v>8</v>
      </c>
      <c r="G70" t="s">
        <v>78</v>
      </c>
      <c r="H70">
        <f>C70+20</f>
        <v>1902</v>
      </c>
      <c r="I70">
        <f>INT(H70/100)+1</f>
        <v>20</v>
      </c>
      <c r="J70" t="b">
        <f>AND(I70=19,F70="France")</f>
        <v>0</v>
      </c>
      <c r="K70">
        <f>IF(E70-H70&gt;=50,1,0)</f>
        <v>0</v>
      </c>
      <c r="L70">
        <v>69</v>
      </c>
    </row>
    <row r="71" spans="1:12" x14ac:dyDescent="0.25">
      <c r="A71" t="s">
        <v>76</v>
      </c>
      <c r="B71" t="s">
        <v>77</v>
      </c>
      <c r="C71">
        <v>1892</v>
      </c>
      <c r="D71">
        <f>INT(C71/100)+1</f>
        <v>19</v>
      </c>
      <c r="E71">
        <v>1951</v>
      </c>
      <c r="F71" t="s">
        <v>8</v>
      </c>
      <c r="G71" t="s">
        <v>78</v>
      </c>
      <c r="H71">
        <f>C71+20</f>
        <v>1912</v>
      </c>
      <c r="I71">
        <f>INT(H71/100)+1</f>
        <v>20</v>
      </c>
      <c r="J71" t="b">
        <f>AND(I71=19,F71="France")</f>
        <v>0</v>
      </c>
      <c r="K71">
        <f>IF(E71-H71&gt;=50,1,0)</f>
        <v>0</v>
      </c>
      <c r="L71">
        <v>70</v>
      </c>
    </row>
    <row r="72" spans="1:12" x14ac:dyDescent="0.25">
      <c r="A72" t="s">
        <v>55</v>
      </c>
      <c r="B72" t="s">
        <v>56</v>
      </c>
      <c r="C72">
        <v>1874</v>
      </c>
      <c r="D72">
        <f>INT(C72/100)+1</f>
        <v>19</v>
      </c>
      <c r="E72">
        <v>1963</v>
      </c>
      <c r="F72" t="s">
        <v>12</v>
      </c>
      <c r="G72" t="s">
        <v>57</v>
      </c>
      <c r="H72">
        <f>C72+20</f>
        <v>1894</v>
      </c>
      <c r="I72">
        <f>INT(H72/100)+1</f>
        <v>19</v>
      </c>
      <c r="J72" t="b">
        <f>AND(I72=19,F72="France")</f>
        <v>0</v>
      </c>
      <c r="K72">
        <f>IF(E72-H72&gt;=50,1,0)</f>
        <v>1</v>
      </c>
      <c r="L72">
        <v>71</v>
      </c>
    </row>
    <row r="73" spans="1:12" x14ac:dyDescent="0.25">
      <c r="A73" t="s">
        <v>55</v>
      </c>
      <c r="B73" t="s">
        <v>56</v>
      </c>
      <c r="C73">
        <v>1884</v>
      </c>
      <c r="D73">
        <f>INT(C73/100)+1</f>
        <v>19</v>
      </c>
      <c r="E73">
        <v>1973</v>
      </c>
      <c r="F73" t="s">
        <v>12</v>
      </c>
      <c r="G73" t="s">
        <v>57</v>
      </c>
      <c r="H73">
        <f>C73+20</f>
        <v>1904</v>
      </c>
      <c r="I73">
        <f>INT(H73/100)+1</f>
        <v>20</v>
      </c>
      <c r="J73" t="b">
        <f>AND(I73=19,F73="France")</f>
        <v>0</v>
      </c>
      <c r="K73">
        <f>IF(E73-H73&gt;=50,1,0)</f>
        <v>1</v>
      </c>
      <c r="L73">
        <v>72</v>
      </c>
    </row>
    <row r="74" spans="1:12" x14ac:dyDescent="0.25">
      <c r="A74" t="s">
        <v>55</v>
      </c>
      <c r="B74" t="s">
        <v>56</v>
      </c>
      <c r="C74">
        <v>1894</v>
      </c>
      <c r="D74">
        <f>INT(C74/100)+1</f>
        <v>19</v>
      </c>
      <c r="E74">
        <v>1983</v>
      </c>
      <c r="F74" t="s">
        <v>12</v>
      </c>
      <c r="G74" t="s">
        <v>57</v>
      </c>
      <c r="H74">
        <f>C74+20</f>
        <v>1914</v>
      </c>
      <c r="I74">
        <f>INT(H74/100)+1</f>
        <v>20</v>
      </c>
      <c r="J74" t="b">
        <f>AND(I74=19,F74="France")</f>
        <v>0</v>
      </c>
      <c r="K74">
        <f>IF(E74-H74&gt;=50,1,0)</f>
        <v>1</v>
      </c>
      <c r="L74">
        <v>73</v>
      </c>
    </row>
    <row r="75" spans="1:12" x14ac:dyDescent="0.25">
      <c r="A75" t="s">
        <v>42</v>
      </c>
      <c r="B75" t="s">
        <v>43</v>
      </c>
      <c r="C75">
        <v>1805</v>
      </c>
      <c r="D75">
        <f>INT(C75/100)+1</f>
        <v>19</v>
      </c>
      <c r="E75">
        <v>1831</v>
      </c>
      <c r="F75" t="s">
        <v>8</v>
      </c>
      <c r="G75" t="s">
        <v>44</v>
      </c>
      <c r="H75">
        <f>C75+20</f>
        <v>1825</v>
      </c>
      <c r="I75">
        <f>INT(H75/100)+1</f>
        <v>19</v>
      </c>
      <c r="J75" t="b">
        <f>AND(I75=19,F75="France")</f>
        <v>0</v>
      </c>
      <c r="K75">
        <f>IF(E75-H75&gt;=50,1,0)</f>
        <v>0</v>
      </c>
      <c r="L75">
        <v>74</v>
      </c>
    </row>
    <row r="76" spans="1:12" x14ac:dyDescent="0.25">
      <c r="A76" t="s">
        <v>70</v>
      </c>
      <c r="B76" t="s">
        <v>71</v>
      </c>
      <c r="C76">
        <v>1808</v>
      </c>
      <c r="D76">
        <f>INT(C76/100)+1</f>
        <v>19</v>
      </c>
      <c r="E76">
        <v>1844</v>
      </c>
      <c r="F76" t="s">
        <v>8</v>
      </c>
      <c r="G76" t="s">
        <v>44</v>
      </c>
      <c r="H76">
        <f>C76+20</f>
        <v>1828</v>
      </c>
      <c r="I76">
        <f>INT(H76/100)+1</f>
        <v>19</v>
      </c>
      <c r="J76" t="b">
        <f>AND(I76=19,F76="France")</f>
        <v>0</v>
      </c>
      <c r="K76">
        <f>IF(E76-H76&gt;=50,1,0)</f>
        <v>0</v>
      </c>
      <c r="L76">
        <v>75</v>
      </c>
    </row>
    <row r="77" spans="1:12" x14ac:dyDescent="0.25">
      <c r="A77" t="s">
        <v>42</v>
      </c>
      <c r="B77" t="s">
        <v>43</v>
      </c>
      <c r="C77">
        <v>1815</v>
      </c>
      <c r="D77">
        <f>INT(C77/100)+1</f>
        <v>19</v>
      </c>
      <c r="E77">
        <v>1841</v>
      </c>
      <c r="F77" t="s">
        <v>8</v>
      </c>
      <c r="G77" t="s">
        <v>44</v>
      </c>
      <c r="H77">
        <f>C77+20</f>
        <v>1835</v>
      </c>
      <c r="I77">
        <f>INT(H77/100)+1</f>
        <v>19</v>
      </c>
      <c r="J77" t="b">
        <f>AND(I77=19,F77="France")</f>
        <v>0</v>
      </c>
      <c r="K77">
        <f>IF(E77-H77&gt;=50,1,0)</f>
        <v>0</v>
      </c>
      <c r="L77">
        <v>76</v>
      </c>
    </row>
    <row r="78" spans="1:12" x14ac:dyDescent="0.25">
      <c r="A78" t="s">
        <v>70</v>
      </c>
      <c r="B78" t="s">
        <v>71</v>
      </c>
      <c r="C78">
        <v>1818</v>
      </c>
      <c r="D78">
        <f>INT(C78/100)+1</f>
        <v>19</v>
      </c>
      <c r="E78">
        <v>1854</v>
      </c>
      <c r="F78" t="s">
        <v>8</v>
      </c>
      <c r="G78" t="s">
        <v>44</v>
      </c>
      <c r="H78">
        <f>C78+20</f>
        <v>1838</v>
      </c>
      <c r="I78">
        <f>INT(H78/100)+1</f>
        <v>19</v>
      </c>
      <c r="J78" t="b">
        <f>AND(I78=19,F78="France")</f>
        <v>0</v>
      </c>
      <c r="K78">
        <f>IF(E78-H78&gt;=50,1,0)</f>
        <v>0</v>
      </c>
      <c r="L78">
        <v>77</v>
      </c>
    </row>
    <row r="79" spans="1:12" x14ac:dyDescent="0.25">
      <c r="A79" t="s">
        <v>42</v>
      </c>
      <c r="B79" t="s">
        <v>43</v>
      </c>
      <c r="C79">
        <v>1825</v>
      </c>
      <c r="D79">
        <f>INT(C79/100)+1</f>
        <v>19</v>
      </c>
      <c r="E79">
        <v>1851</v>
      </c>
      <c r="F79" t="s">
        <v>8</v>
      </c>
      <c r="G79" t="s">
        <v>44</v>
      </c>
      <c r="H79">
        <f>C79+20</f>
        <v>1845</v>
      </c>
      <c r="I79">
        <f>INT(H79/100)+1</f>
        <v>19</v>
      </c>
      <c r="J79" t="b">
        <f>AND(I79=19,F79="France")</f>
        <v>0</v>
      </c>
      <c r="K79">
        <f>IF(E79-H79&gt;=50,1,0)</f>
        <v>0</v>
      </c>
      <c r="L79">
        <v>78</v>
      </c>
    </row>
    <row r="80" spans="1:12" x14ac:dyDescent="0.25">
      <c r="A80" t="s">
        <v>70</v>
      </c>
      <c r="B80" t="s">
        <v>71</v>
      </c>
      <c r="C80">
        <v>1828</v>
      </c>
      <c r="D80">
        <f>INT(C80/100)+1</f>
        <v>19</v>
      </c>
      <c r="E80">
        <v>1864</v>
      </c>
      <c r="F80" t="s">
        <v>8</v>
      </c>
      <c r="G80" t="s">
        <v>44</v>
      </c>
      <c r="H80">
        <f>C80+20</f>
        <v>1848</v>
      </c>
      <c r="I80">
        <f>INT(H80/100)+1</f>
        <v>19</v>
      </c>
      <c r="J80" t="b">
        <f>AND(I80=19,F80="France")</f>
        <v>0</v>
      </c>
      <c r="K80">
        <f>IF(E80-H80&gt;=50,1,0)</f>
        <v>0</v>
      </c>
      <c r="L80">
        <v>79</v>
      </c>
    </row>
    <row r="81" spans="1:12" x14ac:dyDescent="0.25">
      <c r="A81" t="s">
        <v>42</v>
      </c>
      <c r="B81" t="s">
        <v>43</v>
      </c>
      <c r="C81">
        <v>1835</v>
      </c>
      <c r="D81">
        <f>INT(C81/100)+1</f>
        <v>19</v>
      </c>
      <c r="E81">
        <v>1861</v>
      </c>
      <c r="F81" t="s">
        <v>8</v>
      </c>
      <c r="G81" t="s">
        <v>44</v>
      </c>
      <c r="H81">
        <f>C81+20</f>
        <v>1855</v>
      </c>
      <c r="I81">
        <f>INT(H81/100)+1</f>
        <v>19</v>
      </c>
      <c r="J81" t="b">
        <f>AND(I81=19,F81="France")</f>
        <v>0</v>
      </c>
      <c r="K81">
        <f>IF(E81-H81&gt;=50,1,0)</f>
        <v>0</v>
      </c>
      <c r="L81">
        <v>80</v>
      </c>
    </row>
    <row r="82" spans="1:12" x14ac:dyDescent="0.25">
      <c r="A82" t="s">
        <v>70</v>
      </c>
      <c r="B82" t="s">
        <v>71</v>
      </c>
      <c r="C82">
        <v>1838</v>
      </c>
      <c r="D82">
        <f>INT(C82/100)+1</f>
        <v>19</v>
      </c>
      <c r="E82">
        <v>1874</v>
      </c>
      <c r="F82" t="s">
        <v>8</v>
      </c>
      <c r="G82" t="s">
        <v>44</v>
      </c>
      <c r="H82">
        <f>C82+20</f>
        <v>1858</v>
      </c>
      <c r="I82">
        <f>INT(H82/100)+1</f>
        <v>19</v>
      </c>
      <c r="J82" t="b">
        <f>AND(I82=19,F82="France")</f>
        <v>0</v>
      </c>
      <c r="K82">
        <f>IF(E82-H82&gt;=50,1,0)</f>
        <v>0</v>
      </c>
      <c r="L82">
        <v>81</v>
      </c>
    </row>
    <row r="83" spans="1:12" x14ac:dyDescent="0.25">
      <c r="A83" t="s">
        <v>42</v>
      </c>
      <c r="B83" t="s">
        <v>43</v>
      </c>
      <c r="C83">
        <v>1845</v>
      </c>
      <c r="D83">
        <f>INT(C83/100)+1</f>
        <v>19</v>
      </c>
      <c r="E83">
        <v>1871</v>
      </c>
      <c r="F83" t="s">
        <v>8</v>
      </c>
      <c r="G83" t="s">
        <v>44</v>
      </c>
      <c r="H83">
        <f>C83+20</f>
        <v>1865</v>
      </c>
      <c r="I83">
        <f>INT(H83/100)+1</f>
        <v>19</v>
      </c>
      <c r="J83" t="b">
        <f>AND(I83=19,F83="France")</f>
        <v>0</v>
      </c>
      <c r="K83">
        <f>IF(E83-H83&gt;=50,1,0)</f>
        <v>0</v>
      </c>
      <c r="L83">
        <v>82</v>
      </c>
    </row>
    <row r="84" spans="1:12" x14ac:dyDescent="0.25">
      <c r="A84" t="s">
        <v>70</v>
      </c>
      <c r="B84" t="s">
        <v>71</v>
      </c>
      <c r="C84">
        <v>1848</v>
      </c>
      <c r="D84">
        <f>INT(C84/100)+1</f>
        <v>19</v>
      </c>
      <c r="E84">
        <v>1884</v>
      </c>
      <c r="F84" t="s">
        <v>8</v>
      </c>
      <c r="G84" t="s">
        <v>44</v>
      </c>
      <c r="H84">
        <f>C84+20</f>
        <v>1868</v>
      </c>
      <c r="I84">
        <f>INT(H84/100)+1</f>
        <v>19</v>
      </c>
      <c r="J84" t="b">
        <f>AND(I84=19,F84="France")</f>
        <v>0</v>
      </c>
      <c r="K84">
        <f>IF(E84-H84&gt;=50,1,0)</f>
        <v>0</v>
      </c>
      <c r="L84">
        <v>83</v>
      </c>
    </row>
    <row r="85" spans="1:12" x14ac:dyDescent="0.25">
      <c r="A85" t="s">
        <v>42</v>
      </c>
      <c r="B85" t="s">
        <v>43</v>
      </c>
      <c r="C85">
        <v>1855</v>
      </c>
      <c r="D85">
        <f>INT(C85/100)+1</f>
        <v>19</v>
      </c>
      <c r="E85">
        <v>1881</v>
      </c>
      <c r="F85" t="s">
        <v>8</v>
      </c>
      <c r="G85" t="s">
        <v>44</v>
      </c>
      <c r="H85">
        <f>C85+20</f>
        <v>1875</v>
      </c>
      <c r="I85">
        <f>INT(H85/100)+1</f>
        <v>19</v>
      </c>
      <c r="J85" t="b">
        <f>AND(I85=19,F85="France")</f>
        <v>0</v>
      </c>
      <c r="K85">
        <f>IF(E85-H85&gt;=50,1,0)</f>
        <v>0</v>
      </c>
      <c r="L85">
        <v>84</v>
      </c>
    </row>
    <row r="86" spans="1:12" x14ac:dyDescent="0.25">
      <c r="A86" t="s">
        <v>70</v>
      </c>
      <c r="B86" t="s">
        <v>71</v>
      </c>
      <c r="C86">
        <v>1858</v>
      </c>
      <c r="D86">
        <f>INT(C86/100)+1</f>
        <v>19</v>
      </c>
      <c r="E86">
        <v>1894</v>
      </c>
      <c r="F86" t="s">
        <v>8</v>
      </c>
      <c r="G86" t="s">
        <v>44</v>
      </c>
      <c r="H86">
        <f>C86+20</f>
        <v>1878</v>
      </c>
      <c r="I86">
        <f>INT(H86/100)+1</f>
        <v>19</v>
      </c>
      <c r="J86" t="b">
        <f>AND(I86=19,F86="France")</f>
        <v>0</v>
      </c>
      <c r="K86">
        <f>IF(E86-H86&gt;=50,1,0)</f>
        <v>0</v>
      </c>
      <c r="L86">
        <v>85</v>
      </c>
    </row>
    <row r="87" spans="1:12" x14ac:dyDescent="0.25">
      <c r="A87" t="s">
        <v>42</v>
      </c>
      <c r="B87" t="s">
        <v>43</v>
      </c>
      <c r="C87">
        <v>1865</v>
      </c>
      <c r="D87">
        <f>INT(C87/100)+1</f>
        <v>19</v>
      </c>
      <c r="E87">
        <v>1891</v>
      </c>
      <c r="F87" t="s">
        <v>8</v>
      </c>
      <c r="G87" t="s">
        <v>44</v>
      </c>
      <c r="H87">
        <f>C87+20</f>
        <v>1885</v>
      </c>
      <c r="I87">
        <f>INT(H87/100)+1</f>
        <v>19</v>
      </c>
      <c r="J87" t="b">
        <f>AND(I87=19,F87="France")</f>
        <v>0</v>
      </c>
      <c r="K87">
        <f>IF(E87-H87&gt;=50,1,0)</f>
        <v>0</v>
      </c>
      <c r="L87">
        <v>86</v>
      </c>
    </row>
    <row r="88" spans="1:12" x14ac:dyDescent="0.25">
      <c r="A88" t="s">
        <v>6</v>
      </c>
      <c r="B88" t="s">
        <v>7</v>
      </c>
      <c r="C88">
        <v>1800</v>
      </c>
      <c r="D88">
        <f>INT(C88/100)+1</f>
        <v>19</v>
      </c>
      <c r="E88">
        <v>1880</v>
      </c>
      <c r="F88" t="s">
        <v>8</v>
      </c>
      <c r="G88" t="s">
        <v>9</v>
      </c>
      <c r="H88">
        <f>C88+20</f>
        <v>1820</v>
      </c>
      <c r="I88">
        <f>INT(H88/100)+1</f>
        <v>19</v>
      </c>
      <c r="J88" t="b">
        <f>AND(I88=19,F88="France")</f>
        <v>0</v>
      </c>
      <c r="K88">
        <f>IF(E88-H88&gt;=50,1,0)</f>
        <v>1</v>
      </c>
      <c r="L88">
        <v>87</v>
      </c>
    </row>
    <row r="89" spans="1:12" x14ac:dyDescent="0.25">
      <c r="A89" t="s">
        <v>6</v>
      </c>
      <c r="B89" t="s">
        <v>7</v>
      </c>
      <c r="C89">
        <v>1810</v>
      </c>
      <c r="D89">
        <f>INT(C89/100)+1</f>
        <v>19</v>
      </c>
      <c r="E89">
        <v>1890</v>
      </c>
      <c r="F89" t="s">
        <v>8</v>
      </c>
      <c r="G89" t="s">
        <v>9</v>
      </c>
      <c r="H89">
        <f>C89+20</f>
        <v>1830</v>
      </c>
      <c r="I89">
        <f>INT(H89/100)+1</f>
        <v>19</v>
      </c>
      <c r="J89" t="b">
        <f>AND(I89=19,F89="France")</f>
        <v>0</v>
      </c>
      <c r="K89">
        <f>IF(E89-H89&gt;=50,1,0)</f>
        <v>1</v>
      </c>
      <c r="L89">
        <v>88</v>
      </c>
    </row>
    <row r="90" spans="1:12" x14ac:dyDescent="0.25">
      <c r="A90" t="s">
        <v>6</v>
      </c>
      <c r="B90" t="s">
        <v>7</v>
      </c>
      <c r="C90">
        <v>1820</v>
      </c>
      <c r="D90">
        <f>INT(C90/100)+1</f>
        <v>19</v>
      </c>
      <c r="E90">
        <v>1900</v>
      </c>
      <c r="F90" t="s">
        <v>8</v>
      </c>
      <c r="G90" t="s">
        <v>9</v>
      </c>
      <c r="H90">
        <f>C90+20</f>
        <v>1840</v>
      </c>
      <c r="I90">
        <f>INT(H90/100)+1</f>
        <v>19</v>
      </c>
      <c r="J90" t="b">
        <f>AND(I90=19,F90="France")</f>
        <v>0</v>
      </c>
      <c r="K90">
        <f>IF(E90-H90&gt;=50,1,0)</f>
        <v>1</v>
      </c>
      <c r="L90">
        <v>89</v>
      </c>
    </row>
    <row r="91" spans="1:12" x14ac:dyDescent="0.25">
      <c r="A91" t="s">
        <v>6</v>
      </c>
      <c r="B91" t="s">
        <v>7</v>
      </c>
      <c r="C91">
        <v>1830</v>
      </c>
      <c r="D91">
        <f>INT(C91/100)+1</f>
        <v>19</v>
      </c>
      <c r="E91">
        <v>1910</v>
      </c>
      <c r="F91" t="s">
        <v>8</v>
      </c>
      <c r="G91" t="s">
        <v>9</v>
      </c>
      <c r="H91">
        <f>C91+20</f>
        <v>1850</v>
      </c>
      <c r="I91">
        <f>INT(H91/100)+1</f>
        <v>19</v>
      </c>
      <c r="J91" t="b">
        <f>AND(I91=19,F91="France")</f>
        <v>0</v>
      </c>
      <c r="K91">
        <f>IF(E91-H91&gt;=50,1,0)</f>
        <v>1</v>
      </c>
      <c r="L91">
        <v>90</v>
      </c>
    </row>
    <row r="92" spans="1:12" x14ac:dyDescent="0.25">
      <c r="A92" t="s">
        <v>6</v>
      </c>
      <c r="B92" t="s">
        <v>7</v>
      </c>
      <c r="C92">
        <v>1840</v>
      </c>
      <c r="D92">
        <f>INT(C92/100)+1</f>
        <v>19</v>
      </c>
      <c r="E92">
        <v>1920</v>
      </c>
      <c r="F92" t="s">
        <v>8</v>
      </c>
      <c r="G92" t="s">
        <v>9</v>
      </c>
      <c r="H92">
        <f>C92+20</f>
        <v>1860</v>
      </c>
      <c r="I92">
        <f>INT(H92/100)+1</f>
        <v>19</v>
      </c>
      <c r="J92" t="b">
        <f>AND(I92=19,F92="France")</f>
        <v>0</v>
      </c>
      <c r="K92">
        <f>IF(E92-H92&gt;=50,1,0)</f>
        <v>1</v>
      </c>
      <c r="L92">
        <v>91</v>
      </c>
    </row>
    <row r="93" spans="1:12" x14ac:dyDescent="0.25">
      <c r="A93" t="s">
        <v>81</v>
      </c>
      <c r="B93" t="s">
        <v>82</v>
      </c>
      <c r="C93">
        <v>1809</v>
      </c>
      <c r="D93">
        <f>INT(C93/100)+1</f>
        <v>19</v>
      </c>
      <c r="E93">
        <v>1892</v>
      </c>
      <c r="F93" t="s">
        <v>83</v>
      </c>
      <c r="G93" t="s">
        <v>84</v>
      </c>
      <c r="H93">
        <f>C93+20</f>
        <v>1829</v>
      </c>
      <c r="I93">
        <f>INT(H93/100)+1</f>
        <v>19</v>
      </c>
      <c r="J93" t="b">
        <f>AND(I93=19,F93="France")</f>
        <v>0</v>
      </c>
      <c r="K93">
        <f>IF(E93-H93&gt;=50,1,0)</f>
        <v>1</v>
      </c>
      <c r="L93">
        <v>92</v>
      </c>
    </row>
    <row r="94" spans="1:12" x14ac:dyDescent="0.25">
      <c r="A94" t="s">
        <v>81</v>
      </c>
      <c r="B94" t="s">
        <v>82</v>
      </c>
      <c r="C94">
        <v>1819</v>
      </c>
      <c r="D94">
        <f>INT(C94/100)+1</f>
        <v>19</v>
      </c>
      <c r="E94">
        <v>1902</v>
      </c>
      <c r="F94" t="s">
        <v>83</v>
      </c>
      <c r="G94" t="s">
        <v>84</v>
      </c>
      <c r="H94">
        <f>C94+20</f>
        <v>1839</v>
      </c>
      <c r="I94">
        <f>INT(H94/100)+1</f>
        <v>19</v>
      </c>
      <c r="J94" t="b">
        <f>AND(I94=19,F94="France")</f>
        <v>0</v>
      </c>
      <c r="K94">
        <f>IF(E94-H94&gt;=50,1,0)</f>
        <v>1</v>
      </c>
      <c r="L94">
        <v>93</v>
      </c>
    </row>
    <row r="95" spans="1:12" x14ac:dyDescent="0.25">
      <c r="A95" t="s">
        <v>85</v>
      </c>
      <c r="B95" t="s">
        <v>86</v>
      </c>
      <c r="C95">
        <v>1898</v>
      </c>
      <c r="D95">
        <f>INT(C95/100)+1</f>
        <v>19</v>
      </c>
      <c r="E95">
        <v>1936</v>
      </c>
      <c r="F95" t="s">
        <v>87</v>
      </c>
      <c r="G95" t="s">
        <v>27</v>
      </c>
      <c r="H95">
        <f>C95+20</f>
        <v>1918</v>
      </c>
      <c r="I95">
        <f>INT(H95/100)+1</f>
        <v>20</v>
      </c>
      <c r="J95" t="b">
        <f>AND(I95=19,F95="France")</f>
        <v>0</v>
      </c>
      <c r="K95">
        <f>IF(E95-H95&gt;=50,1,0)</f>
        <v>0</v>
      </c>
      <c r="L95">
        <v>94</v>
      </c>
    </row>
    <row r="96" spans="1:12" x14ac:dyDescent="0.25">
      <c r="A96" t="s">
        <v>48</v>
      </c>
      <c r="B96" t="s">
        <v>49</v>
      </c>
      <c r="C96">
        <v>1821</v>
      </c>
      <c r="D96">
        <f>INT(C96/100)+1</f>
        <v>19</v>
      </c>
      <c r="E96">
        <v>1867</v>
      </c>
      <c r="F96" t="s">
        <v>50</v>
      </c>
      <c r="G96" t="s">
        <v>51</v>
      </c>
      <c r="H96">
        <f>C96+20</f>
        <v>1841</v>
      </c>
      <c r="I96">
        <f>INT(H96/100)+1</f>
        <v>19</v>
      </c>
      <c r="J96" t="b">
        <f>AND(I96=19,F96="France")</f>
        <v>1</v>
      </c>
      <c r="K96">
        <f>IF(E96-H96&gt;=50,1,0)</f>
        <v>0</v>
      </c>
      <c r="L96">
        <v>95</v>
      </c>
    </row>
    <row r="97" spans="1:12" x14ac:dyDescent="0.25">
      <c r="A97" t="s">
        <v>48</v>
      </c>
      <c r="B97" t="s">
        <v>49</v>
      </c>
      <c r="C97">
        <v>1831</v>
      </c>
      <c r="D97">
        <f>INT(C97/100)+1</f>
        <v>19</v>
      </c>
      <c r="E97">
        <v>1877</v>
      </c>
      <c r="F97" t="s">
        <v>50</v>
      </c>
      <c r="G97" t="s">
        <v>51</v>
      </c>
      <c r="H97">
        <f>C97+20</f>
        <v>1851</v>
      </c>
      <c r="I97">
        <f>INT(H97/100)+1</f>
        <v>19</v>
      </c>
      <c r="J97" t="b">
        <f>AND(I97=19,F97="France")</f>
        <v>1</v>
      </c>
      <c r="K97">
        <f>IF(E97-H97&gt;=50,1,0)</f>
        <v>0</v>
      </c>
      <c r="L97">
        <v>96</v>
      </c>
    </row>
    <row r="98" spans="1:12" x14ac:dyDescent="0.25">
      <c r="A98" t="s">
        <v>48</v>
      </c>
      <c r="B98" t="s">
        <v>49</v>
      </c>
      <c r="C98">
        <v>1841</v>
      </c>
      <c r="D98">
        <f>INT(C98/100)+1</f>
        <v>19</v>
      </c>
      <c r="E98">
        <v>1887</v>
      </c>
      <c r="F98" t="s">
        <v>50</v>
      </c>
      <c r="G98" t="s">
        <v>51</v>
      </c>
      <c r="H98">
        <f>C98+20</f>
        <v>1861</v>
      </c>
      <c r="I98">
        <f>INT(H98/100)+1</f>
        <v>19</v>
      </c>
      <c r="J98" t="b">
        <f>AND(I98=19,F98="France")</f>
        <v>1</v>
      </c>
      <c r="K98">
        <f>IF(E98-H98&gt;=50,1,0)</f>
        <v>0</v>
      </c>
      <c r="L98">
        <v>97</v>
      </c>
    </row>
    <row r="99" spans="1:12" x14ac:dyDescent="0.25">
      <c r="A99" t="s">
        <v>48</v>
      </c>
      <c r="B99" t="s">
        <v>49</v>
      </c>
      <c r="C99">
        <v>1851</v>
      </c>
      <c r="D99">
        <f>INT(C99/100)+1</f>
        <v>19</v>
      </c>
      <c r="E99">
        <v>1897</v>
      </c>
      <c r="F99" t="s">
        <v>50</v>
      </c>
      <c r="G99" t="s">
        <v>51</v>
      </c>
      <c r="H99">
        <f>C99+20</f>
        <v>1871</v>
      </c>
      <c r="I99">
        <f>INT(H99/100)+1</f>
        <v>19</v>
      </c>
      <c r="J99" t="b">
        <f>AND(I99=19,F99="France")</f>
        <v>1</v>
      </c>
      <c r="K99">
        <f>IF(E99-H99&gt;=50,1,0)</f>
        <v>0</v>
      </c>
      <c r="L99">
        <v>98</v>
      </c>
    </row>
    <row r="100" spans="1:12" x14ac:dyDescent="0.25">
      <c r="A100" t="s">
        <v>79</v>
      </c>
      <c r="B100" t="s">
        <v>80</v>
      </c>
      <c r="C100">
        <v>1854</v>
      </c>
      <c r="D100">
        <f>INT(C100/100)+1</f>
        <v>19</v>
      </c>
      <c r="E100">
        <v>1891</v>
      </c>
      <c r="F100" t="s">
        <v>50</v>
      </c>
      <c r="G100" t="s">
        <v>51</v>
      </c>
      <c r="H100">
        <f>C100+20</f>
        <v>1874</v>
      </c>
      <c r="I100">
        <f>INT(H100/100)+1</f>
        <v>19</v>
      </c>
      <c r="J100" t="b">
        <f>AND(I100=19,F100="France")</f>
        <v>1</v>
      </c>
      <c r="K100">
        <f>IF(E100-H100&gt;=50,1,0)</f>
        <v>0</v>
      </c>
      <c r="L100">
        <v>99</v>
      </c>
    </row>
    <row r="101" spans="1:12" x14ac:dyDescent="0.25">
      <c r="A101" t="s">
        <v>48</v>
      </c>
      <c r="B101" t="s">
        <v>49</v>
      </c>
      <c r="C101">
        <v>1861</v>
      </c>
      <c r="D101">
        <f>INT(C101/100)+1</f>
        <v>19</v>
      </c>
      <c r="E101">
        <v>1907</v>
      </c>
      <c r="F101" t="s">
        <v>50</v>
      </c>
      <c r="G101" t="s">
        <v>51</v>
      </c>
      <c r="H101">
        <f>C101+20</f>
        <v>1881</v>
      </c>
      <c r="I101">
        <f>INT(H101/100)+1</f>
        <v>19</v>
      </c>
      <c r="J101" t="b">
        <f>AND(I101=19,F101="France")</f>
        <v>1</v>
      </c>
      <c r="K101">
        <f>IF(E101-H101&gt;=50,1,0)</f>
        <v>0</v>
      </c>
      <c r="L101">
        <v>100</v>
      </c>
    </row>
    <row r="102" spans="1:12" x14ac:dyDescent="0.25">
      <c r="A102" t="s">
        <v>79</v>
      </c>
      <c r="B102" t="s">
        <v>80</v>
      </c>
      <c r="C102">
        <v>1864</v>
      </c>
      <c r="D102">
        <f>INT(C102/100)+1</f>
        <v>19</v>
      </c>
      <c r="E102">
        <v>1901</v>
      </c>
      <c r="F102" t="s">
        <v>50</v>
      </c>
      <c r="G102" t="s">
        <v>51</v>
      </c>
      <c r="H102">
        <f>C102+20</f>
        <v>1884</v>
      </c>
      <c r="I102">
        <f>INT(H102/100)+1</f>
        <v>19</v>
      </c>
      <c r="J102" t="b">
        <f>AND(I102=19,F102="France")</f>
        <v>1</v>
      </c>
      <c r="K102">
        <f>IF(E102-H102&gt;=50,1,0)</f>
        <v>0</v>
      </c>
      <c r="L102">
        <v>101</v>
      </c>
    </row>
    <row r="103" spans="1:12" x14ac:dyDescent="0.25">
      <c r="A103" t="s">
        <v>48</v>
      </c>
      <c r="B103" t="s">
        <v>49</v>
      </c>
      <c r="C103">
        <v>1871</v>
      </c>
      <c r="D103">
        <f>INT(C103/100)+1</f>
        <v>19</v>
      </c>
      <c r="E103">
        <v>1917</v>
      </c>
      <c r="F103" t="s">
        <v>50</v>
      </c>
      <c r="G103" t="s">
        <v>51</v>
      </c>
      <c r="H103">
        <f>C103+20</f>
        <v>1891</v>
      </c>
      <c r="I103">
        <f>INT(H103/100)+1</f>
        <v>19</v>
      </c>
      <c r="J103" t="b">
        <f>AND(I103=19,F103="France")</f>
        <v>1</v>
      </c>
      <c r="K103">
        <f>IF(E103-H103&gt;=50,1,0)</f>
        <v>0</v>
      </c>
      <c r="L103">
        <v>102</v>
      </c>
    </row>
    <row r="104" spans="1:12" x14ac:dyDescent="0.25">
      <c r="A104" t="s">
        <v>79</v>
      </c>
      <c r="B104" t="s">
        <v>80</v>
      </c>
      <c r="C104">
        <v>1874</v>
      </c>
      <c r="D104">
        <f>INT(C104/100)+1</f>
        <v>19</v>
      </c>
      <c r="E104">
        <v>1911</v>
      </c>
      <c r="F104" t="s">
        <v>50</v>
      </c>
      <c r="G104" t="s">
        <v>51</v>
      </c>
      <c r="H104">
        <f>C104+20</f>
        <v>1894</v>
      </c>
      <c r="I104">
        <f>INT(H104/100)+1</f>
        <v>19</v>
      </c>
      <c r="J104" t="b">
        <f>AND(I104=19,F104="France")</f>
        <v>1</v>
      </c>
      <c r="K104">
        <f>IF(E104-H104&gt;=50,1,0)</f>
        <v>0</v>
      </c>
      <c r="L104">
        <v>103</v>
      </c>
    </row>
    <row r="105" spans="1:12" x14ac:dyDescent="0.25">
      <c r="A105" t="s">
        <v>48</v>
      </c>
      <c r="B105" t="s">
        <v>49</v>
      </c>
      <c r="C105">
        <v>1881</v>
      </c>
      <c r="D105">
        <f>INT(C105/100)+1</f>
        <v>19</v>
      </c>
      <c r="E105">
        <v>1927</v>
      </c>
      <c r="F105" t="s">
        <v>50</v>
      </c>
      <c r="G105" t="s">
        <v>51</v>
      </c>
      <c r="H105">
        <f>C105+20</f>
        <v>1901</v>
      </c>
      <c r="I105">
        <f>INT(H105/100)+1</f>
        <v>20</v>
      </c>
      <c r="J105" t="b">
        <f>AND(I105=19,F105="France")</f>
        <v>0</v>
      </c>
      <c r="K105">
        <f>IF(E105-H105&gt;=50,1,0)</f>
        <v>0</v>
      </c>
      <c r="L105">
        <v>104</v>
      </c>
    </row>
    <row r="106" spans="1:12" x14ac:dyDescent="0.25">
      <c r="A106" t="s">
        <v>79</v>
      </c>
      <c r="B106" t="s">
        <v>80</v>
      </c>
      <c r="C106">
        <v>1884</v>
      </c>
      <c r="D106">
        <f>INT(C106/100)+1</f>
        <v>19</v>
      </c>
      <c r="E106">
        <v>1921</v>
      </c>
      <c r="F106" t="s">
        <v>50</v>
      </c>
      <c r="G106" t="s">
        <v>51</v>
      </c>
      <c r="H106">
        <f>C106+20</f>
        <v>1904</v>
      </c>
      <c r="I106">
        <f>INT(H106/100)+1</f>
        <v>20</v>
      </c>
      <c r="J106" t="b">
        <f>AND(I106=19,F106="France")</f>
        <v>0</v>
      </c>
      <c r="K106">
        <f>IF(E106-H106&gt;=50,1,0)</f>
        <v>0</v>
      </c>
      <c r="L106">
        <v>105</v>
      </c>
    </row>
    <row r="107" spans="1:12" x14ac:dyDescent="0.25">
      <c r="A107" t="s">
        <v>48</v>
      </c>
      <c r="B107" t="s">
        <v>49</v>
      </c>
      <c r="C107">
        <v>1891</v>
      </c>
      <c r="D107">
        <f>INT(C107/100)+1</f>
        <v>19</v>
      </c>
      <c r="E107">
        <v>1937</v>
      </c>
      <c r="F107" t="s">
        <v>50</v>
      </c>
      <c r="G107" t="s">
        <v>51</v>
      </c>
      <c r="H107">
        <f>C107+20</f>
        <v>1911</v>
      </c>
      <c r="I107">
        <f>INT(H107/100)+1</f>
        <v>20</v>
      </c>
      <c r="J107" t="b">
        <f>AND(I107=19,F107="France")</f>
        <v>0</v>
      </c>
      <c r="K107">
        <f>IF(E107-H107&gt;=50,1,0)</f>
        <v>0</v>
      </c>
      <c r="L107">
        <v>106</v>
      </c>
    </row>
    <row r="108" spans="1:12" x14ac:dyDescent="0.25">
      <c r="A108" t="s">
        <v>79</v>
      </c>
      <c r="B108" t="s">
        <v>80</v>
      </c>
      <c r="C108">
        <v>1894</v>
      </c>
      <c r="D108">
        <f>INT(C108/100)+1</f>
        <v>19</v>
      </c>
      <c r="E108">
        <v>1931</v>
      </c>
      <c r="F108" t="s">
        <v>50</v>
      </c>
      <c r="G108" t="s">
        <v>51</v>
      </c>
      <c r="H108">
        <f>C108+20</f>
        <v>1914</v>
      </c>
      <c r="I108">
        <f>INT(H108/100)+1</f>
        <v>20</v>
      </c>
      <c r="J108" t="b">
        <f>AND(I108=19,F108="France")</f>
        <v>0</v>
      </c>
      <c r="K108">
        <f>IF(E108-H108&gt;=50,1,0)</f>
        <v>0</v>
      </c>
      <c r="L108">
        <v>107</v>
      </c>
    </row>
    <row r="109" spans="1:12" x14ac:dyDescent="0.25">
      <c r="A109" t="s">
        <v>35</v>
      </c>
      <c r="B109" t="s">
        <v>36</v>
      </c>
      <c r="C109">
        <v>1819</v>
      </c>
      <c r="D109">
        <f>INT(C109/100)+1</f>
        <v>19</v>
      </c>
      <c r="E109">
        <v>1892</v>
      </c>
      <c r="F109" t="s">
        <v>12</v>
      </c>
      <c r="G109" t="s">
        <v>37</v>
      </c>
      <c r="H109">
        <f>C109+20</f>
        <v>1839</v>
      </c>
      <c r="I109">
        <f>INT(H109/100)+1</f>
        <v>19</v>
      </c>
      <c r="J109" t="b">
        <f>AND(I109=19,F109="France")</f>
        <v>0</v>
      </c>
      <c r="K109">
        <f>IF(E109-H109&gt;=50,1,0)</f>
        <v>1</v>
      </c>
      <c r="L109">
        <v>108</v>
      </c>
    </row>
    <row r="110" spans="1:12" x14ac:dyDescent="0.25">
      <c r="A110" t="s">
        <v>35</v>
      </c>
      <c r="B110" t="s">
        <v>36</v>
      </c>
      <c r="C110">
        <v>1829</v>
      </c>
      <c r="D110">
        <f>INT(C110/100)+1</f>
        <v>19</v>
      </c>
      <c r="E110">
        <v>1902</v>
      </c>
      <c r="F110" t="s">
        <v>12</v>
      </c>
      <c r="G110" t="s">
        <v>37</v>
      </c>
      <c r="H110">
        <f>C110+20</f>
        <v>1849</v>
      </c>
      <c r="I110">
        <f>INT(H110/100)+1</f>
        <v>19</v>
      </c>
      <c r="J110" t="b">
        <f>AND(I110=19,F110="France")</f>
        <v>0</v>
      </c>
      <c r="K110">
        <f>IF(E110-H110&gt;=50,1,0)</f>
        <v>1</v>
      </c>
      <c r="L110">
        <v>109</v>
      </c>
    </row>
    <row r="111" spans="1:12" x14ac:dyDescent="0.25">
      <c r="A111" t="s">
        <v>35</v>
      </c>
      <c r="B111" t="s">
        <v>36</v>
      </c>
      <c r="C111">
        <v>1839</v>
      </c>
      <c r="D111">
        <f>INT(C111/100)+1</f>
        <v>19</v>
      </c>
      <c r="E111">
        <v>1912</v>
      </c>
      <c r="F111" t="s">
        <v>12</v>
      </c>
      <c r="G111" t="s">
        <v>37</v>
      </c>
      <c r="H111">
        <f>C111+20</f>
        <v>1859</v>
      </c>
      <c r="I111">
        <f>INT(H111/100)+1</f>
        <v>19</v>
      </c>
      <c r="J111" t="b">
        <f>AND(I111=19,F111="France")</f>
        <v>0</v>
      </c>
      <c r="K111">
        <f>IF(E111-H111&gt;=50,1,0)</f>
        <v>1</v>
      </c>
      <c r="L111">
        <v>110</v>
      </c>
    </row>
    <row r="112" spans="1:12" x14ac:dyDescent="0.25">
      <c r="A112" t="s">
        <v>35</v>
      </c>
      <c r="B112" t="s">
        <v>36</v>
      </c>
      <c r="C112">
        <v>1849</v>
      </c>
      <c r="D112">
        <f>INT(C112/100)+1</f>
        <v>19</v>
      </c>
      <c r="E112">
        <v>1922</v>
      </c>
      <c r="F112" t="s">
        <v>12</v>
      </c>
      <c r="G112" t="s">
        <v>37</v>
      </c>
      <c r="H112">
        <f>C112+20</f>
        <v>1869</v>
      </c>
      <c r="I112">
        <f>INT(H112/100)+1</f>
        <v>19</v>
      </c>
      <c r="J112" t="b">
        <f>AND(I112=19,F112="France")</f>
        <v>0</v>
      </c>
      <c r="K112">
        <f>IF(E112-H112&gt;=50,1,0)</f>
        <v>1</v>
      </c>
      <c r="L112">
        <v>111</v>
      </c>
    </row>
    <row r="113" spans="1:12" x14ac:dyDescent="0.25">
      <c r="A113" t="s">
        <v>35</v>
      </c>
      <c r="B113" t="s">
        <v>36</v>
      </c>
      <c r="C113">
        <v>1859</v>
      </c>
      <c r="D113">
        <f>INT(C113/100)+1</f>
        <v>19</v>
      </c>
      <c r="E113">
        <v>1932</v>
      </c>
      <c r="F113" t="s">
        <v>12</v>
      </c>
      <c r="G113" t="s">
        <v>37</v>
      </c>
      <c r="H113">
        <f>C113+20</f>
        <v>1879</v>
      </c>
      <c r="I113">
        <f>INT(H113/100)+1</f>
        <v>19</v>
      </c>
      <c r="J113" t="b">
        <f>AND(I113=19,F113="France")</f>
        <v>0</v>
      </c>
      <c r="K113">
        <f>IF(E113-H113&gt;=50,1,0)</f>
        <v>1</v>
      </c>
      <c r="L113">
        <v>112</v>
      </c>
    </row>
    <row r="114" spans="1:12" x14ac:dyDescent="0.25">
      <c r="A114" t="s">
        <v>35</v>
      </c>
      <c r="B114" t="s">
        <v>36</v>
      </c>
      <c r="C114">
        <v>1869</v>
      </c>
      <c r="D114">
        <f>INT(C114/100)+1</f>
        <v>19</v>
      </c>
      <c r="E114">
        <v>1942</v>
      </c>
      <c r="F114" t="s">
        <v>12</v>
      </c>
      <c r="G114" t="s">
        <v>37</v>
      </c>
      <c r="H114">
        <f>C114+20</f>
        <v>1889</v>
      </c>
      <c r="I114">
        <f>INT(H114/100)+1</f>
        <v>19</v>
      </c>
      <c r="J114" t="b">
        <f>AND(I114=19,F114="France")</f>
        <v>0</v>
      </c>
      <c r="K114">
        <f>IF(E114-H114&gt;=50,1,0)</f>
        <v>1</v>
      </c>
      <c r="L114">
        <v>113</v>
      </c>
    </row>
    <row r="115" spans="1:12" x14ac:dyDescent="0.25">
      <c r="A115" t="s">
        <v>35</v>
      </c>
      <c r="B115" t="s">
        <v>36</v>
      </c>
      <c r="C115">
        <v>1879</v>
      </c>
      <c r="D115">
        <f>INT(C115/100)+1</f>
        <v>19</v>
      </c>
      <c r="E115">
        <v>1952</v>
      </c>
      <c r="F115" t="s">
        <v>12</v>
      </c>
      <c r="G115" t="s">
        <v>37</v>
      </c>
      <c r="H115">
        <f>C115+20</f>
        <v>1899</v>
      </c>
      <c r="I115">
        <f>INT(H115/100)+1</f>
        <v>19</v>
      </c>
      <c r="J115" t="b">
        <f>AND(I115=19,F115="France")</f>
        <v>0</v>
      </c>
      <c r="K115">
        <f>IF(E115-H115&gt;=50,1,0)</f>
        <v>1</v>
      </c>
      <c r="L115">
        <v>114</v>
      </c>
    </row>
    <row r="116" spans="1:12" x14ac:dyDescent="0.25">
      <c r="A116" t="s">
        <v>35</v>
      </c>
      <c r="B116" t="s">
        <v>36</v>
      </c>
      <c r="C116">
        <v>1889</v>
      </c>
      <c r="D116">
        <f>INT(C116/100)+1</f>
        <v>19</v>
      </c>
      <c r="E116">
        <v>1962</v>
      </c>
      <c r="F116" t="s">
        <v>12</v>
      </c>
      <c r="G116" t="s">
        <v>37</v>
      </c>
      <c r="H116">
        <f>C116+20</f>
        <v>1909</v>
      </c>
      <c r="I116">
        <f>INT(H116/100)+1</f>
        <v>20</v>
      </c>
      <c r="J116" t="b">
        <f>AND(I116=19,F116="France")</f>
        <v>0</v>
      </c>
      <c r="K116">
        <f>IF(E116-H116&gt;=50,1,0)</f>
        <v>1</v>
      </c>
      <c r="L116">
        <v>115</v>
      </c>
    </row>
    <row r="117" spans="1:12" x14ac:dyDescent="0.25">
      <c r="A117" t="s">
        <v>45</v>
      </c>
      <c r="B117" t="s">
        <v>46</v>
      </c>
      <c r="C117">
        <v>1806</v>
      </c>
      <c r="D117">
        <f>INT(C117/100)+1</f>
        <v>19</v>
      </c>
      <c r="E117">
        <v>1861</v>
      </c>
      <c r="F117" t="s">
        <v>8</v>
      </c>
      <c r="G117" t="s">
        <v>47</v>
      </c>
      <c r="H117">
        <f>C117+20</f>
        <v>1826</v>
      </c>
      <c r="I117">
        <f>INT(H117/100)+1</f>
        <v>19</v>
      </c>
      <c r="J117" t="b">
        <f>AND(I117=19,F117="France")</f>
        <v>0</v>
      </c>
      <c r="K117">
        <f>IF(E117-H117&gt;=50,1,0)</f>
        <v>0</v>
      </c>
      <c r="L117">
        <v>116</v>
      </c>
    </row>
    <row r="118" spans="1:12" x14ac:dyDescent="0.25">
      <c r="A118" t="s">
        <v>45</v>
      </c>
      <c r="B118" t="s">
        <v>46</v>
      </c>
      <c r="C118">
        <v>1816</v>
      </c>
      <c r="D118">
        <f>INT(C118/100)+1</f>
        <v>19</v>
      </c>
      <c r="E118">
        <v>1871</v>
      </c>
      <c r="F118" t="s">
        <v>8</v>
      </c>
      <c r="G118" t="s">
        <v>47</v>
      </c>
      <c r="H118">
        <f>C118+20</f>
        <v>1836</v>
      </c>
      <c r="I118">
        <f>INT(H118/100)+1</f>
        <v>19</v>
      </c>
      <c r="J118" t="b">
        <f>AND(I118=19,F118="France")</f>
        <v>0</v>
      </c>
      <c r="K118">
        <f>IF(E118-H118&gt;=50,1,0)</f>
        <v>0</v>
      </c>
      <c r="L118">
        <v>117</v>
      </c>
    </row>
    <row r="119" spans="1:12" x14ac:dyDescent="0.25">
      <c r="A119" t="s">
        <v>45</v>
      </c>
      <c r="B119" t="s">
        <v>46</v>
      </c>
      <c r="C119">
        <v>1826</v>
      </c>
      <c r="D119">
        <f>INT(C119/100)+1</f>
        <v>19</v>
      </c>
      <c r="E119">
        <v>1881</v>
      </c>
      <c r="F119" t="s">
        <v>8</v>
      </c>
      <c r="G119" t="s">
        <v>47</v>
      </c>
      <c r="H119">
        <f>C119+20</f>
        <v>1846</v>
      </c>
      <c r="I119">
        <f>INT(H119/100)+1</f>
        <v>19</v>
      </c>
      <c r="J119" t="b">
        <f>AND(I119=19,F119="France")</f>
        <v>0</v>
      </c>
      <c r="K119">
        <f>IF(E119-H119&gt;=50,1,0)</f>
        <v>0</v>
      </c>
      <c r="L119">
        <v>118</v>
      </c>
    </row>
    <row r="120" spans="1:12" x14ac:dyDescent="0.25">
      <c r="A120" t="s">
        <v>45</v>
      </c>
      <c r="B120" t="s">
        <v>46</v>
      </c>
      <c r="C120">
        <v>1836</v>
      </c>
      <c r="D120">
        <f>INT(C120/100)+1</f>
        <v>19</v>
      </c>
      <c r="E120">
        <v>1891</v>
      </c>
      <c r="F120" t="s">
        <v>8</v>
      </c>
      <c r="G120" t="s">
        <v>47</v>
      </c>
      <c r="H120">
        <f>C120+20</f>
        <v>1856</v>
      </c>
      <c r="I120">
        <f>INT(H120/100)+1</f>
        <v>19</v>
      </c>
      <c r="J120" t="b">
        <f>AND(I120=19,F120="France")</f>
        <v>0</v>
      </c>
      <c r="K120">
        <f>IF(E120-H120&gt;=50,1,0)</f>
        <v>0</v>
      </c>
      <c r="L120">
        <v>119</v>
      </c>
    </row>
    <row r="121" spans="1:12" x14ac:dyDescent="0.25">
      <c r="A121" t="s">
        <v>45</v>
      </c>
      <c r="B121" t="s">
        <v>46</v>
      </c>
      <c r="C121">
        <v>1846</v>
      </c>
      <c r="D121">
        <f>INT(C121/100)+1</f>
        <v>19</v>
      </c>
      <c r="E121">
        <v>1901</v>
      </c>
      <c r="F121" t="s">
        <v>8</v>
      </c>
      <c r="G121" t="s">
        <v>47</v>
      </c>
      <c r="H121">
        <f>C121+20</f>
        <v>1866</v>
      </c>
      <c r="I121">
        <f>INT(H121/100)+1</f>
        <v>19</v>
      </c>
      <c r="J121" t="b">
        <f>AND(I121=19,F121="France")</f>
        <v>0</v>
      </c>
      <c r="K121">
        <f>IF(E121-H121&gt;=50,1,0)</f>
        <v>0</v>
      </c>
      <c r="L121">
        <v>120</v>
      </c>
    </row>
    <row r="122" spans="1:12" x14ac:dyDescent="0.25">
      <c r="A122" t="s">
        <v>45</v>
      </c>
      <c r="B122" t="s">
        <v>46</v>
      </c>
      <c r="C122">
        <v>1856</v>
      </c>
      <c r="D122">
        <f>INT(C122/100)+1</f>
        <v>19</v>
      </c>
      <c r="E122">
        <v>1911</v>
      </c>
      <c r="F122" t="s">
        <v>8</v>
      </c>
      <c r="G122" t="s">
        <v>47</v>
      </c>
      <c r="H122">
        <f>C122+20</f>
        <v>1876</v>
      </c>
      <c r="I122">
        <f>INT(H122/100)+1</f>
        <v>19</v>
      </c>
      <c r="J122" t="b">
        <f>AND(I122=19,F122="France")</f>
        <v>0</v>
      </c>
      <c r="K122">
        <f>IF(E122-H122&gt;=50,1,0)</f>
        <v>0</v>
      </c>
      <c r="L122">
        <v>121</v>
      </c>
    </row>
    <row r="123" spans="1:12" x14ac:dyDescent="0.25">
      <c r="A123" t="s">
        <v>45</v>
      </c>
      <c r="B123" t="s">
        <v>46</v>
      </c>
      <c r="C123">
        <v>1866</v>
      </c>
      <c r="D123">
        <f>INT(C123/100)+1</f>
        <v>19</v>
      </c>
      <c r="E123">
        <v>1921</v>
      </c>
      <c r="F123" t="s">
        <v>8</v>
      </c>
      <c r="G123" t="s">
        <v>47</v>
      </c>
      <c r="H123">
        <f>C123+20</f>
        <v>1886</v>
      </c>
      <c r="I123">
        <f>INT(H123/100)+1</f>
        <v>19</v>
      </c>
      <c r="J123" t="b">
        <f>AND(I123=19,F123="France")</f>
        <v>0</v>
      </c>
      <c r="K123">
        <f>IF(E123-H123&gt;=50,1,0)</f>
        <v>0</v>
      </c>
      <c r="L123">
        <v>122</v>
      </c>
    </row>
    <row r="124" spans="1:12" x14ac:dyDescent="0.25">
      <c r="A124" t="s">
        <v>45</v>
      </c>
      <c r="B124" t="s">
        <v>46</v>
      </c>
      <c r="C124">
        <v>1876</v>
      </c>
      <c r="D124">
        <f>INT(C124/100)+1</f>
        <v>19</v>
      </c>
      <c r="E124">
        <v>1931</v>
      </c>
      <c r="F124" t="s">
        <v>8</v>
      </c>
      <c r="G124" t="s">
        <v>47</v>
      </c>
      <c r="H124">
        <f>C124+20</f>
        <v>1896</v>
      </c>
      <c r="I124">
        <f>INT(H124/100)+1</f>
        <v>19</v>
      </c>
      <c r="J124" t="b">
        <f>AND(I124=19,F124="France")</f>
        <v>0</v>
      </c>
      <c r="K124">
        <f>IF(E124-H124&gt;=50,1,0)</f>
        <v>0</v>
      </c>
      <c r="L124">
        <v>123</v>
      </c>
    </row>
    <row r="125" spans="1:12" x14ac:dyDescent="0.25">
      <c r="A125" t="s">
        <v>72</v>
      </c>
      <c r="B125" t="s">
        <v>73</v>
      </c>
      <c r="C125">
        <v>1904</v>
      </c>
      <c r="D125">
        <f>INT(C125/100)+1</f>
        <v>20</v>
      </c>
      <c r="E125">
        <v>1950</v>
      </c>
      <c r="F125" t="s">
        <v>74</v>
      </c>
      <c r="G125" t="s">
        <v>75</v>
      </c>
      <c r="H125">
        <f>C125+20</f>
        <v>1924</v>
      </c>
      <c r="I125">
        <f>INT(H125/100)+1</f>
        <v>20</v>
      </c>
      <c r="J125" t="b">
        <f>AND(I125=19,F125="France")</f>
        <v>0</v>
      </c>
      <c r="K125">
        <f>IF(E125-H125&gt;=50,1,0)</f>
        <v>0</v>
      </c>
      <c r="L125">
        <v>124</v>
      </c>
    </row>
    <row r="126" spans="1:12" x14ac:dyDescent="0.25">
      <c r="A126" t="s">
        <v>72</v>
      </c>
      <c r="B126" t="s">
        <v>73</v>
      </c>
      <c r="C126">
        <v>1914</v>
      </c>
      <c r="D126">
        <f>INT(C126/100)+1</f>
        <v>20</v>
      </c>
      <c r="E126">
        <v>1960</v>
      </c>
      <c r="F126" t="s">
        <v>74</v>
      </c>
      <c r="G126" t="s">
        <v>75</v>
      </c>
      <c r="H126">
        <f>C126+20</f>
        <v>1934</v>
      </c>
      <c r="I126">
        <f>INT(H126/100)+1</f>
        <v>20</v>
      </c>
      <c r="J126" t="b">
        <f>AND(I126=19,F126="France")</f>
        <v>0</v>
      </c>
      <c r="K126">
        <f>IF(E126-H126&gt;=50,1,0)</f>
        <v>0</v>
      </c>
      <c r="L126">
        <v>125</v>
      </c>
    </row>
    <row r="127" spans="1:12" x14ac:dyDescent="0.25">
      <c r="A127" t="s">
        <v>72</v>
      </c>
      <c r="B127" t="s">
        <v>73</v>
      </c>
      <c r="C127">
        <v>1924</v>
      </c>
      <c r="D127">
        <f>INT(C127/100)+1</f>
        <v>20</v>
      </c>
      <c r="E127">
        <v>1970</v>
      </c>
      <c r="F127" t="s">
        <v>74</v>
      </c>
      <c r="G127" t="s">
        <v>75</v>
      </c>
      <c r="H127">
        <f>C127+20</f>
        <v>1944</v>
      </c>
      <c r="I127">
        <f>INT(H127/100)+1</f>
        <v>20</v>
      </c>
      <c r="J127" t="b">
        <f>AND(I127=19,F127="France")</f>
        <v>0</v>
      </c>
      <c r="K127">
        <f>IF(E127-H127&gt;=50,1,0)</f>
        <v>0</v>
      </c>
      <c r="L127">
        <v>126</v>
      </c>
    </row>
    <row r="128" spans="1:12" x14ac:dyDescent="0.25">
      <c r="A128" t="s">
        <v>31</v>
      </c>
      <c r="B128" t="s">
        <v>32</v>
      </c>
      <c r="C128">
        <v>1901</v>
      </c>
      <c r="D128">
        <f>INT(C128/100)+1</f>
        <v>20</v>
      </c>
      <c r="E128">
        <v>1981</v>
      </c>
      <c r="F128" t="s">
        <v>33</v>
      </c>
      <c r="G128" t="s">
        <v>34</v>
      </c>
      <c r="H128">
        <f>C128+20</f>
        <v>1921</v>
      </c>
      <c r="I128">
        <f>INT(H128/100)+1</f>
        <v>20</v>
      </c>
      <c r="J128" t="b">
        <f>AND(I128=19,F128="France")</f>
        <v>0</v>
      </c>
      <c r="K128">
        <f>IF(E128-H128&gt;=50,1,0)</f>
        <v>1</v>
      </c>
      <c r="L128">
        <v>127</v>
      </c>
    </row>
    <row r="129" spans="1:12" x14ac:dyDescent="0.25">
      <c r="A129" t="s">
        <v>31</v>
      </c>
      <c r="B129" t="s">
        <v>32</v>
      </c>
      <c r="C129">
        <v>1911</v>
      </c>
      <c r="D129">
        <f>INT(C129/100)+1</f>
        <v>20</v>
      </c>
      <c r="E129">
        <v>1991</v>
      </c>
      <c r="F129" t="s">
        <v>33</v>
      </c>
      <c r="G129" t="s">
        <v>34</v>
      </c>
      <c r="H129">
        <f>C129+20</f>
        <v>1931</v>
      </c>
      <c r="I129">
        <f>INT(H129/100)+1</f>
        <v>20</v>
      </c>
      <c r="J129" t="b">
        <f>AND(I129=19,F129="France")</f>
        <v>0</v>
      </c>
      <c r="K129">
        <f>IF(E129-H129&gt;=50,1,0)</f>
        <v>1</v>
      </c>
      <c r="L129">
        <v>128</v>
      </c>
    </row>
    <row r="130" spans="1:12" x14ac:dyDescent="0.25">
      <c r="A130" t="s">
        <v>31</v>
      </c>
      <c r="B130" t="s">
        <v>32</v>
      </c>
      <c r="C130">
        <v>1921</v>
      </c>
      <c r="D130">
        <f>INT(C130/100)+1</f>
        <v>20</v>
      </c>
      <c r="E130">
        <v>2001</v>
      </c>
      <c r="F130" t="s">
        <v>33</v>
      </c>
      <c r="G130" t="s">
        <v>34</v>
      </c>
      <c r="H130">
        <f>C130+20</f>
        <v>1941</v>
      </c>
      <c r="I130">
        <f>INT(H130/100)+1</f>
        <v>20</v>
      </c>
      <c r="J130" t="b">
        <f>AND(I130=19,F130="France")</f>
        <v>0</v>
      </c>
      <c r="K130">
        <f>IF(E130-H130&gt;=50,1,0)</f>
        <v>1</v>
      </c>
      <c r="L130">
        <v>129</v>
      </c>
    </row>
    <row r="131" spans="1:12" x14ac:dyDescent="0.25">
      <c r="A131" t="s">
        <v>31</v>
      </c>
      <c r="B131" t="s">
        <v>32</v>
      </c>
      <c r="C131">
        <v>1931</v>
      </c>
      <c r="D131">
        <f>INT(C131/100)+1</f>
        <v>20</v>
      </c>
      <c r="E131">
        <v>2011</v>
      </c>
      <c r="F131" t="s">
        <v>33</v>
      </c>
      <c r="G131" t="s">
        <v>34</v>
      </c>
      <c r="H131">
        <f>C131+20</f>
        <v>1951</v>
      </c>
      <c r="I131">
        <f>INT(H131/100)+1</f>
        <v>20</v>
      </c>
      <c r="J131" t="b">
        <f>AND(I131=19,F131="France")</f>
        <v>0</v>
      </c>
      <c r="K131">
        <f>IF(E131-H131&gt;=50,1,0)</f>
        <v>1</v>
      </c>
      <c r="L131">
        <v>130</v>
      </c>
    </row>
    <row r="132" spans="1:12" x14ac:dyDescent="0.25">
      <c r="A132" t="s">
        <v>28</v>
      </c>
      <c r="B132" t="s">
        <v>29</v>
      </c>
      <c r="C132">
        <v>1928</v>
      </c>
      <c r="D132">
        <f>INT(C132/100)+1</f>
        <v>20</v>
      </c>
      <c r="E132">
        <v>2014</v>
      </c>
      <c r="F132" t="s">
        <v>12</v>
      </c>
      <c r="G132" t="s">
        <v>30</v>
      </c>
      <c r="H132">
        <f>C132+20</f>
        <v>1948</v>
      </c>
      <c r="I132">
        <f>INT(H132/100)+1</f>
        <v>20</v>
      </c>
      <c r="J132" t="b">
        <f>AND(I132=19,F132="France")</f>
        <v>0</v>
      </c>
      <c r="K132">
        <f>IF(E132-H132&gt;=50,1,0)</f>
        <v>1</v>
      </c>
      <c r="L132">
        <v>131</v>
      </c>
    </row>
    <row r="133" spans="1:12" x14ac:dyDescent="0.25">
      <c r="A133" t="s">
        <v>28</v>
      </c>
      <c r="B133" t="s">
        <v>29</v>
      </c>
      <c r="C133">
        <v>1938</v>
      </c>
      <c r="D133">
        <f>INT(C133/100)+1</f>
        <v>20</v>
      </c>
      <c r="E133">
        <v>2024</v>
      </c>
      <c r="F133" t="s">
        <v>12</v>
      </c>
      <c r="G133" t="s">
        <v>30</v>
      </c>
      <c r="H133">
        <f>C133+20</f>
        <v>1958</v>
      </c>
      <c r="I133">
        <f>INT(H133/100)+1</f>
        <v>20</v>
      </c>
      <c r="J133" t="b">
        <f>AND(I133=19,F133="France")</f>
        <v>0</v>
      </c>
      <c r="K133">
        <f>IF(E133-H133&gt;=50,1,0)</f>
        <v>1</v>
      </c>
      <c r="L133">
        <v>132</v>
      </c>
    </row>
    <row r="134" spans="1:12" x14ac:dyDescent="0.25">
      <c r="A134" t="s">
        <v>28</v>
      </c>
      <c r="B134" t="s">
        <v>29</v>
      </c>
      <c r="C134">
        <v>1948</v>
      </c>
      <c r="D134">
        <f>INT(C134/100)+1</f>
        <v>20</v>
      </c>
      <c r="E134">
        <v>2034</v>
      </c>
      <c r="F134" t="s">
        <v>12</v>
      </c>
      <c r="G134" t="s">
        <v>30</v>
      </c>
      <c r="H134">
        <f>C134+20</f>
        <v>1968</v>
      </c>
      <c r="I134">
        <f>INT(H134/100)+1</f>
        <v>20</v>
      </c>
      <c r="J134" t="b">
        <f>AND(I134=19,F134="France")</f>
        <v>0</v>
      </c>
      <c r="K134">
        <f>IF(E134-H134&gt;=50,1,0)</f>
        <v>1</v>
      </c>
      <c r="L134">
        <v>133</v>
      </c>
    </row>
    <row r="135" spans="1:12" x14ac:dyDescent="0.25">
      <c r="A135" t="s">
        <v>28</v>
      </c>
      <c r="B135" t="s">
        <v>29</v>
      </c>
      <c r="C135">
        <v>1958</v>
      </c>
      <c r="D135">
        <f>INT(C135/100)+1</f>
        <v>20</v>
      </c>
      <c r="E135">
        <v>2044</v>
      </c>
      <c r="F135" t="s">
        <v>12</v>
      </c>
      <c r="G135" t="s">
        <v>30</v>
      </c>
      <c r="H135">
        <f>C135+20</f>
        <v>1978</v>
      </c>
      <c r="I135">
        <f>INT(H135/100)+1</f>
        <v>20</v>
      </c>
      <c r="J135" t="b">
        <f>AND(I135=19,F135="France")</f>
        <v>0</v>
      </c>
      <c r="K135">
        <f>IF(E135-H135&gt;=50,1,0)</f>
        <v>1</v>
      </c>
      <c r="L135">
        <v>134</v>
      </c>
    </row>
    <row r="136" spans="1:12" x14ac:dyDescent="0.25">
      <c r="A136" t="s">
        <v>28</v>
      </c>
      <c r="B136" t="s">
        <v>29</v>
      </c>
      <c r="C136">
        <v>1968</v>
      </c>
      <c r="D136">
        <f>INT(C136/100)+1</f>
        <v>20</v>
      </c>
      <c r="E136">
        <v>2054</v>
      </c>
      <c r="F136" t="s">
        <v>12</v>
      </c>
      <c r="G136" t="s">
        <v>30</v>
      </c>
      <c r="H136">
        <f>C136+20</f>
        <v>1988</v>
      </c>
      <c r="I136">
        <f>INT(H136/100)+1</f>
        <v>20</v>
      </c>
      <c r="J136" t="b">
        <f>AND(I136=19,F136="France")</f>
        <v>0</v>
      </c>
      <c r="K136">
        <f>IF(E136-H136&gt;=50,1,0)</f>
        <v>1</v>
      </c>
      <c r="L136">
        <v>135</v>
      </c>
    </row>
    <row r="137" spans="1:12" x14ac:dyDescent="0.25">
      <c r="A137" t="s">
        <v>28</v>
      </c>
      <c r="B137" t="s">
        <v>29</v>
      </c>
      <c r="C137">
        <v>1978</v>
      </c>
      <c r="D137">
        <f>INT(C137/100)+1</f>
        <v>20</v>
      </c>
      <c r="E137">
        <v>2064</v>
      </c>
      <c r="F137" t="s">
        <v>12</v>
      </c>
      <c r="G137" t="s">
        <v>30</v>
      </c>
      <c r="H137">
        <f>C137+20</f>
        <v>1998</v>
      </c>
      <c r="I137">
        <f>INT(H137/100)+1</f>
        <v>20</v>
      </c>
      <c r="J137" t="b">
        <f>AND(I137=19,F137="France")</f>
        <v>0</v>
      </c>
      <c r="K137">
        <f>IF(E137-H137&gt;=50,1,0)</f>
        <v>1</v>
      </c>
      <c r="L137">
        <v>136</v>
      </c>
    </row>
    <row r="138" spans="1:12" x14ac:dyDescent="0.25">
      <c r="A138" t="s">
        <v>28</v>
      </c>
      <c r="B138" t="s">
        <v>29</v>
      </c>
      <c r="C138">
        <v>1988</v>
      </c>
      <c r="D138">
        <f>INT(C138/100)+1</f>
        <v>20</v>
      </c>
      <c r="E138">
        <v>2074</v>
      </c>
      <c r="F138" t="s">
        <v>12</v>
      </c>
      <c r="G138" t="s">
        <v>30</v>
      </c>
      <c r="H138">
        <f>C138+20</f>
        <v>2008</v>
      </c>
      <c r="I138">
        <f>INT(H138/100)+1</f>
        <v>21</v>
      </c>
      <c r="J138" t="b">
        <f>AND(I138=19,F138="France")</f>
        <v>0</v>
      </c>
      <c r="K138">
        <f>IF(E138-H138&gt;=50,1,0)</f>
        <v>1</v>
      </c>
      <c r="L138">
        <v>137</v>
      </c>
    </row>
    <row r="139" spans="1:12" x14ac:dyDescent="0.25">
      <c r="A139" t="s">
        <v>28</v>
      </c>
      <c r="B139" t="s">
        <v>29</v>
      </c>
      <c r="C139">
        <v>1998</v>
      </c>
      <c r="D139">
        <f>INT(C139/100)+1</f>
        <v>20</v>
      </c>
      <c r="E139">
        <v>2084</v>
      </c>
      <c r="F139" t="s">
        <v>12</v>
      </c>
      <c r="G139" t="s">
        <v>30</v>
      </c>
      <c r="H139">
        <f>C139+20</f>
        <v>2018</v>
      </c>
      <c r="I139">
        <f>INT(H139/100)+1</f>
        <v>21</v>
      </c>
      <c r="J139" t="b">
        <f>AND(I139=19,F139="France")</f>
        <v>0</v>
      </c>
      <c r="K139">
        <f>IF(E139-H139&gt;=50,1,0)</f>
        <v>1</v>
      </c>
      <c r="L139">
        <v>138</v>
      </c>
    </row>
    <row r="140" spans="1:12" x14ac:dyDescent="0.25">
      <c r="A140" t="s">
        <v>61</v>
      </c>
      <c r="B140" t="s">
        <v>62</v>
      </c>
      <c r="C140">
        <v>1928</v>
      </c>
      <c r="D140">
        <f>INT(C140/100)+1</f>
        <v>20</v>
      </c>
      <c r="E140">
        <v>1974</v>
      </c>
      <c r="F140" t="s">
        <v>12</v>
      </c>
      <c r="G140" t="s">
        <v>13</v>
      </c>
      <c r="H140">
        <f>C140+20</f>
        <v>1948</v>
      </c>
      <c r="I140">
        <f>INT(H140/100)+1</f>
        <v>20</v>
      </c>
      <c r="J140" t="b">
        <f>AND(I140=19,F140="France")</f>
        <v>0</v>
      </c>
      <c r="K140">
        <f>IF(E140-H140&gt;=50,1,0)</f>
        <v>0</v>
      </c>
      <c r="L140">
        <v>139</v>
      </c>
    </row>
    <row r="141" spans="1:12" x14ac:dyDescent="0.25">
      <c r="A141" t="s">
        <v>10</v>
      </c>
      <c r="B141" t="s">
        <v>11</v>
      </c>
      <c r="C141">
        <v>1932</v>
      </c>
      <c r="D141">
        <f>INT(C141/100)+1</f>
        <v>20</v>
      </c>
      <c r="E141">
        <v>1963</v>
      </c>
      <c r="F141" t="s">
        <v>12</v>
      </c>
      <c r="G141" t="s">
        <v>13</v>
      </c>
      <c r="H141">
        <f>C141+20</f>
        <v>1952</v>
      </c>
      <c r="I141">
        <f>INT(H141/100)+1</f>
        <v>20</v>
      </c>
      <c r="J141" t="b">
        <f>AND(I141=19,F141="France")</f>
        <v>0</v>
      </c>
      <c r="K141">
        <f>IF(E141-H141&gt;=50,1,0)</f>
        <v>0</v>
      </c>
      <c r="L141">
        <v>140</v>
      </c>
    </row>
    <row r="142" spans="1:12" x14ac:dyDescent="0.25">
      <c r="A142" t="s">
        <v>61</v>
      </c>
      <c r="B142" t="s">
        <v>62</v>
      </c>
      <c r="C142">
        <v>1938</v>
      </c>
      <c r="D142">
        <f>INT(C142/100)+1</f>
        <v>20</v>
      </c>
      <c r="E142">
        <v>1984</v>
      </c>
      <c r="F142" t="s">
        <v>12</v>
      </c>
      <c r="G142" t="s">
        <v>13</v>
      </c>
      <c r="H142">
        <f>C142+20</f>
        <v>1958</v>
      </c>
      <c r="I142">
        <f>INT(H142/100)+1</f>
        <v>20</v>
      </c>
      <c r="J142" t="b">
        <f>AND(I142=19,F142="France")</f>
        <v>0</v>
      </c>
      <c r="K142">
        <f>IF(E142-H142&gt;=50,1,0)</f>
        <v>0</v>
      </c>
      <c r="L142">
        <v>141</v>
      </c>
    </row>
    <row r="143" spans="1:12" x14ac:dyDescent="0.25">
      <c r="A143" t="s">
        <v>10</v>
      </c>
      <c r="B143" t="s">
        <v>11</v>
      </c>
      <c r="C143">
        <v>1942</v>
      </c>
      <c r="D143">
        <f>INT(C143/100)+1</f>
        <v>20</v>
      </c>
      <c r="E143">
        <v>1973</v>
      </c>
      <c r="F143" t="s">
        <v>12</v>
      </c>
      <c r="G143" t="s">
        <v>13</v>
      </c>
      <c r="H143">
        <f>C143+20</f>
        <v>1962</v>
      </c>
      <c r="I143">
        <f>INT(H143/100)+1</f>
        <v>20</v>
      </c>
      <c r="J143" t="b">
        <f>AND(I143=19,F143="France")</f>
        <v>0</v>
      </c>
      <c r="K143">
        <f>IF(E143-H143&gt;=50,1,0)</f>
        <v>0</v>
      </c>
      <c r="L143">
        <v>142</v>
      </c>
    </row>
    <row r="144" spans="1:12" x14ac:dyDescent="0.25">
      <c r="A144" t="s">
        <v>61</v>
      </c>
      <c r="B144" t="s">
        <v>62</v>
      </c>
      <c r="C144">
        <v>1948</v>
      </c>
      <c r="D144">
        <f>INT(C144/100)+1</f>
        <v>20</v>
      </c>
      <c r="E144">
        <v>1994</v>
      </c>
      <c r="F144" t="s">
        <v>12</v>
      </c>
      <c r="G144" t="s">
        <v>13</v>
      </c>
      <c r="H144">
        <f>C144+20</f>
        <v>1968</v>
      </c>
      <c r="I144">
        <f>INT(H144/100)+1</f>
        <v>20</v>
      </c>
      <c r="J144" t="b">
        <f>AND(I144=19,F144="France")</f>
        <v>0</v>
      </c>
      <c r="K144">
        <f>IF(E144-H144&gt;=50,1,0)</f>
        <v>0</v>
      </c>
      <c r="L144">
        <v>143</v>
      </c>
    </row>
    <row r="145" spans="1:12" x14ac:dyDescent="0.25">
      <c r="A145" t="s">
        <v>10</v>
      </c>
      <c r="B145" t="s">
        <v>11</v>
      </c>
      <c r="C145">
        <v>1952</v>
      </c>
      <c r="D145">
        <f>INT(C145/100)+1</f>
        <v>20</v>
      </c>
      <c r="E145">
        <v>1983</v>
      </c>
      <c r="F145" t="s">
        <v>12</v>
      </c>
      <c r="G145" t="s">
        <v>13</v>
      </c>
      <c r="H145">
        <f>C145+20</f>
        <v>1972</v>
      </c>
      <c r="I145">
        <f>INT(H145/100)+1</f>
        <v>20</v>
      </c>
      <c r="J145" t="b">
        <f>AND(I145=19,F145="France")</f>
        <v>0</v>
      </c>
      <c r="K145">
        <f>IF(E145-H145&gt;=50,1,0)</f>
        <v>0</v>
      </c>
      <c r="L145">
        <v>144</v>
      </c>
    </row>
    <row r="146" spans="1:12" x14ac:dyDescent="0.25">
      <c r="A146" t="s">
        <v>61</v>
      </c>
      <c r="B146" t="s">
        <v>62</v>
      </c>
      <c r="C146">
        <v>1958</v>
      </c>
      <c r="D146">
        <f>INT(C146/100)+1</f>
        <v>20</v>
      </c>
      <c r="E146">
        <v>2004</v>
      </c>
      <c r="F146" t="s">
        <v>12</v>
      </c>
      <c r="G146" t="s">
        <v>13</v>
      </c>
      <c r="H146">
        <f>C146+20</f>
        <v>1978</v>
      </c>
      <c r="I146">
        <f>INT(H146/100)+1</f>
        <v>20</v>
      </c>
      <c r="J146" t="b">
        <f>AND(I146=19,F146="France")</f>
        <v>0</v>
      </c>
      <c r="K146">
        <f>IF(E146-H146&gt;=50,1,0)</f>
        <v>0</v>
      </c>
      <c r="L146">
        <v>145</v>
      </c>
    </row>
    <row r="147" spans="1:12" x14ac:dyDescent="0.25">
      <c r="A147" t="s">
        <v>10</v>
      </c>
      <c r="B147" t="s">
        <v>11</v>
      </c>
      <c r="C147">
        <v>1962</v>
      </c>
      <c r="D147">
        <f>INT(C147/100)+1</f>
        <v>20</v>
      </c>
      <c r="E147">
        <v>1993</v>
      </c>
      <c r="F147" t="s">
        <v>12</v>
      </c>
      <c r="G147" t="s">
        <v>13</v>
      </c>
      <c r="H147">
        <f>C147+20</f>
        <v>1982</v>
      </c>
      <c r="I147">
        <f>INT(H147/100)+1</f>
        <v>20</v>
      </c>
      <c r="J147" t="b">
        <f>AND(I147=19,F147="France")</f>
        <v>0</v>
      </c>
      <c r="K147">
        <f>IF(E147-H147&gt;=50,1,0)</f>
        <v>0</v>
      </c>
      <c r="L147">
        <v>146</v>
      </c>
    </row>
    <row r="148" spans="1:12" x14ac:dyDescent="0.25">
      <c r="A148" t="s">
        <v>61</v>
      </c>
      <c r="B148" t="s">
        <v>62</v>
      </c>
      <c r="C148">
        <v>1968</v>
      </c>
      <c r="D148">
        <f>INT(C148/100)+1</f>
        <v>20</v>
      </c>
      <c r="E148">
        <v>2014</v>
      </c>
      <c r="F148" t="s">
        <v>12</v>
      </c>
      <c r="G148" t="s">
        <v>13</v>
      </c>
      <c r="H148">
        <f>C148+20</f>
        <v>1988</v>
      </c>
      <c r="I148">
        <f>INT(H148/100)+1</f>
        <v>20</v>
      </c>
      <c r="J148" t="b">
        <f>AND(I148=19,F148="France")</f>
        <v>0</v>
      </c>
      <c r="K148">
        <f>IF(E148-H148&gt;=50,1,0)</f>
        <v>0</v>
      </c>
      <c r="L148">
        <v>147</v>
      </c>
    </row>
    <row r="149" spans="1:12" x14ac:dyDescent="0.25">
      <c r="A149" t="s">
        <v>10</v>
      </c>
      <c r="B149" t="s">
        <v>11</v>
      </c>
      <c r="C149">
        <v>1972</v>
      </c>
      <c r="D149">
        <f>INT(C149/100)+1</f>
        <v>20</v>
      </c>
      <c r="E149">
        <v>2003</v>
      </c>
      <c r="F149" t="s">
        <v>12</v>
      </c>
      <c r="G149" t="s">
        <v>13</v>
      </c>
      <c r="H149">
        <f>C149+20</f>
        <v>1992</v>
      </c>
      <c r="I149">
        <f>INT(H149/100)+1</f>
        <v>20</v>
      </c>
      <c r="J149" t="b">
        <f>AND(I149=19,F149="France")</f>
        <v>0</v>
      </c>
      <c r="K149">
        <f>IF(E149-H149&gt;=50,1,0)</f>
        <v>0</v>
      </c>
      <c r="L149">
        <v>148</v>
      </c>
    </row>
    <row r="150" spans="1:12" x14ac:dyDescent="0.25">
      <c r="A150" t="s">
        <v>61</v>
      </c>
      <c r="B150" t="s">
        <v>62</v>
      </c>
      <c r="C150">
        <v>1978</v>
      </c>
      <c r="D150">
        <f>INT(C150/100)+1</f>
        <v>20</v>
      </c>
      <c r="E150">
        <v>2024</v>
      </c>
      <c r="F150" t="s">
        <v>12</v>
      </c>
      <c r="G150" t="s">
        <v>13</v>
      </c>
      <c r="H150">
        <f>C150+20</f>
        <v>1998</v>
      </c>
      <c r="I150">
        <f>INT(H150/100)+1</f>
        <v>20</v>
      </c>
      <c r="J150" t="b">
        <f>AND(I150=19,F150="France")</f>
        <v>0</v>
      </c>
      <c r="K150">
        <f>IF(E150-H150&gt;=50,1,0)</f>
        <v>0</v>
      </c>
      <c r="L150">
        <v>149</v>
      </c>
    </row>
    <row r="151" spans="1:12" x14ac:dyDescent="0.25">
      <c r="A151" t="s">
        <v>10</v>
      </c>
      <c r="B151" t="s">
        <v>11</v>
      </c>
      <c r="C151">
        <v>1982</v>
      </c>
      <c r="D151">
        <f>INT(C151/100)+1</f>
        <v>20</v>
      </c>
      <c r="E151">
        <v>2013</v>
      </c>
      <c r="F151" t="s">
        <v>12</v>
      </c>
      <c r="G151" t="s">
        <v>13</v>
      </c>
      <c r="H151">
        <f>C151+20</f>
        <v>2002</v>
      </c>
      <c r="I151">
        <f>INT(H151/100)+1</f>
        <v>21</v>
      </c>
      <c r="J151" t="b">
        <f>AND(I151=19,F151="France")</f>
        <v>0</v>
      </c>
      <c r="K151">
        <f>IF(E151-H151&gt;=50,1,0)</f>
        <v>0</v>
      </c>
      <c r="L151">
        <v>150</v>
      </c>
    </row>
    <row r="152" spans="1:12" x14ac:dyDescent="0.25">
      <c r="A152" t="s">
        <v>61</v>
      </c>
      <c r="B152" t="s">
        <v>62</v>
      </c>
      <c r="C152">
        <v>1988</v>
      </c>
      <c r="D152">
        <f>INT(C152/100)+1</f>
        <v>20</v>
      </c>
      <c r="E152">
        <v>2034</v>
      </c>
      <c r="F152" t="s">
        <v>12</v>
      </c>
      <c r="G152" t="s">
        <v>13</v>
      </c>
      <c r="H152">
        <f>C152+20</f>
        <v>2008</v>
      </c>
      <c r="I152">
        <f>INT(H152/100)+1</f>
        <v>21</v>
      </c>
      <c r="J152" t="b">
        <f>AND(I152=19,F152="France")</f>
        <v>0</v>
      </c>
      <c r="K152">
        <f>IF(E152-H152&gt;=50,1,0)</f>
        <v>0</v>
      </c>
      <c r="L152">
        <v>151</v>
      </c>
    </row>
    <row r="153" spans="1:12" x14ac:dyDescent="0.25">
      <c r="A153" t="s">
        <v>10</v>
      </c>
      <c r="B153" t="s">
        <v>11</v>
      </c>
      <c r="C153">
        <v>1992</v>
      </c>
      <c r="D153">
        <f>INT(C153/100)+1</f>
        <v>20</v>
      </c>
      <c r="E153">
        <v>2023</v>
      </c>
      <c r="F153" t="s">
        <v>12</v>
      </c>
      <c r="G153" t="s">
        <v>13</v>
      </c>
      <c r="H153">
        <f>C153+20</f>
        <v>2012</v>
      </c>
      <c r="I153">
        <f>INT(H153/100)+1</f>
        <v>21</v>
      </c>
      <c r="J153" t="b">
        <f>AND(I153=19,F153="France")</f>
        <v>0</v>
      </c>
      <c r="K153">
        <f>IF(E153-H153&gt;=50,1,0)</f>
        <v>0</v>
      </c>
      <c r="L153">
        <v>152</v>
      </c>
    </row>
    <row r="154" spans="1:12" x14ac:dyDescent="0.25">
      <c r="A154" t="s">
        <v>61</v>
      </c>
      <c r="B154" t="s">
        <v>62</v>
      </c>
      <c r="C154">
        <v>1998</v>
      </c>
      <c r="D154">
        <f>INT(C154/100)+1</f>
        <v>20</v>
      </c>
      <c r="E154">
        <v>2044</v>
      </c>
      <c r="F154" t="s">
        <v>12</v>
      </c>
      <c r="G154" t="s">
        <v>13</v>
      </c>
      <c r="H154">
        <f>C154+20</f>
        <v>2018</v>
      </c>
      <c r="I154">
        <f>INT(H154/100)+1</f>
        <v>21</v>
      </c>
      <c r="J154" t="b">
        <f>AND(I154=19,F154="France")</f>
        <v>0</v>
      </c>
      <c r="K154">
        <f>IF(E154-H154&gt;=50,1,0)</f>
        <v>0</v>
      </c>
      <c r="L154">
        <v>153</v>
      </c>
    </row>
    <row r="155" spans="1:12" x14ac:dyDescent="0.25">
      <c r="A155" t="s">
        <v>52</v>
      </c>
      <c r="B155" t="s">
        <v>53</v>
      </c>
      <c r="C155">
        <v>1943</v>
      </c>
      <c r="D155">
        <f>INT(C155/100)+1</f>
        <v>20</v>
      </c>
      <c r="E155">
        <v>2020</v>
      </c>
      <c r="F155" t="s">
        <v>12</v>
      </c>
      <c r="G155" t="s">
        <v>54</v>
      </c>
      <c r="H155">
        <f>C155+20</f>
        <v>1963</v>
      </c>
      <c r="I155">
        <f>INT(H155/100)+1</f>
        <v>20</v>
      </c>
      <c r="J155" t="b">
        <f>AND(I155=19,F155="France")</f>
        <v>0</v>
      </c>
      <c r="K155">
        <f>IF(E155-H155&gt;=50,1,0)</f>
        <v>1</v>
      </c>
      <c r="L155">
        <v>154</v>
      </c>
    </row>
    <row r="156" spans="1:12" x14ac:dyDescent="0.25">
      <c r="A156" t="s">
        <v>52</v>
      </c>
      <c r="B156" t="s">
        <v>53</v>
      </c>
      <c r="C156">
        <v>1953</v>
      </c>
      <c r="D156">
        <f>INT(C156/100)+1</f>
        <v>20</v>
      </c>
      <c r="E156">
        <v>2030</v>
      </c>
      <c r="F156" t="s">
        <v>12</v>
      </c>
      <c r="G156" t="s">
        <v>54</v>
      </c>
      <c r="H156">
        <f>C156+20</f>
        <v>1973</v>
      </c>
      <c r="I156">
        <f>INT(H156/100)+1</f>
        <v>20</v>
      </c>
      <c r="J156" t="b">
        <f>AND(I156=19,F156="France")</f>
        <v>0</v>
      </c>
      <c r="K156">
        <f>IF(E156-H156&gt;=50,1,0)</f>
        <v>1</v>
      </c>
      <c r="L156">
        <v>155</v>
      </c>
    </row>
    <row r="157" spans="1:12" x14ac:dyDescent="0.25">
      <c r="A157" t="s">
        <v>52</v>
      </c>
      <c r="B157" t="s">
        <v>53</v>
      </c>
      <c r="C157">
        <v>1963</v>
      </c>
      <c r="D157">
        <f>INT(C157/100)+1</f>
        <v>20</v>
      </c>
      <c r="E157">
        <v>2040</v>
      </c>
      <c r="F157" t="s">
        <v>12</v>
      </c>
      <c r="G157" t="s">
        <v>54</v>
      </c>
      <c r="H157">
        <f>C157+20</f>
        <v>1983</v>
      </c>
      <c r="I157">
        <f>INT(H157/100)+1</f>
        <v>20</v>
      </c>
      <c r="J157" t="b">
        <f>AND(I157=19,F157="France")</f>
        <v>0</v>
      </c>
      <c r="K157">
        <f>IF(E157-H157&gt;=50,1,0)</f>
        <v>1</v>
      </c>
      <c r="L157">
        <v>156</v>
      </c>
    </row>
    <row r="158" spans="1:12" x14ac:dyDescent="0.25">
      <c r="A158" t="s">
        <v>52</v>
      </c>
      <c r="B158" t="s">
        <v>53</v>
      </c>
      <c r="C158">
        <v>1973</v>
      </c>
      <c r="D158">
        <f>INT(C158/100)+1</f>
        <v>20</v>
      </c>
      <c r="E158">
        <v>2050</v>
      </c>
      <c r="F158" t="s">
        <v>12</v>
      </c>
      <c r="G158" t="s">
        <v>54</v>
      </c>
      <c r="H158">
        <f>C158+20</f>
        <v>1993</v>
      </c>
      <c r="I158">
        <f>INT(H158/100)+1</f>
        <v>20</v>
      </c>
      <c r="J158" t="b">
        <f>AND(I158=19,F158="France")</f>
        <v>0</v>
      </c>
      <c r="K158">
        <f>IF(E158-H158&gt;=50,1,0)</f>
        <v>1</v>
      </c>
      <c r="L158">
        <v>157</v>
      </c>
    </row>
    <row r="159" spans="1:12" x14ac:dyDescent="0.25">
      <c r="A159" t="s">
        <v>52</v>
      </c>
      <c r="B159" t="s">
        <v>53</v>
      </c>
      <c r="C159">
        <v>1983</v>
      </c>
      <c r="D159">
        <f>INT(C159/100)+1</f>
        <v>20</v>
      </c>
      <c r="E159">
        <v>2060</v>
      </c>
      <c r="F159" t="s">
        <v>12</v>
      </c>
      <c r="G159" t="s">
        <v>54</v>
      </c>
      <c r="H159">
        <f>C159+20</f>
        <v>2003</v>
      </c>
      <c r="I159">
        <f>INT(H159/100)+1</f>
        <v>21</v>
      </c>
      <c r="J159" t="b">
        <f>AND(I159=19,F159="France")</f>
        <v>0</v>
      </c>
      <c r="K159">
        <f>IF(E159-H159&gt;=50,1,0)</f>
        <v>1</v>
      </c>
      <c r="L159">
        <v>158</v>
      </c>
    </row>
    <row r="160" spans="1:12" x14ac:dyDescent="0.25">
      <c r="A160" t="s">
        <v>52</v>
      </c>
      <c r="B160" t="s">
        <v>53</v>
      </c>
      <c r="C160">
        <v>1993</v>
      </c>
      <c r="D160">
        <f>INT(C160/100)+1</f>
        <v>20</v>
      </c>
      <c r="E160">
        <v>2070</v>
      </c>
      <c r="F160" t="s">
        <v>12</v>
      </c>
      <c r="G160" t="s">
        <v>54</v>
      </c>
      <c r="H160">
        <f>C160+20</f>
        <v>2013</v>
      </c>
      <c r="I160">
        <f>INT(H160/100)+1</f>
        <v>21</v>
      </c>
      <c r="J160" t="b">
        <f>AND(I160=19,F160="France")</f>
        <v>0</v>
      </c>
      <c r="K160">
        <f>IF(E160-H160&gt;=50,1,0)</f>
        <v>1</v>
      </c>
      <c r="L160">
        <v>159</v>
      </c>
    </row>
    <row r="161" spans="1:12" x14ac:dyDescent="0.25">
      <c r="A161" t="s">
        <v>14</v>
      </c>
      <c r="B161" t="s">
        <v>15</v>
      </c>
      <c r="C161">
        <v>1902</v>
      </c>
      <c r="D161">
        <f>INT(C161/100)+1</f>
        <v>20</v>
      </c>
      <c r="E161">
        <v>1967</v>
      </c>
      <c r="F161" t="s">
        <v>12</v>
      </c>
      <c r="G161" t="s">
        <v>16</v>
      </c>
      <c r="H161">
        <f>C161+20</f>
        <v>1922</v>
      </c>
      <c r="I161">
        <f>INT(H161/100)+1</f>
        <v>20</v>
      </c>
      <c r="J161" t="b">
        <f>AND(I161=19,F161="France")</f>
        <v>0</v>
      </c>
      <c r="K161">
        <f>IF(E161-H161&gt;=50,1,0)</f>
        <v>0</v>
      </c>
      <c r="L161">
        <v>160</v>
      </c>
    </row>
    <row r="162" spans="1:12" x14ac:dyDescent="0.25">
      <c r="A162" t="s">
        <v>14</v>
      </c>
      <c r="B162" t="s">
        <v>15</v>
      </c>
      <c r="C162">
        <v>1912</v>
      </c>
      <c r="D162">
        <f>INT(C162/100)+1</f>
        <v>20</v>
      </c>
      <c r="E162">
        <v>1977</v>
      </c>
      <c r="F162" t="s">
        <v>12</v>
      </c>
      <c r="G162" t="s">
        <v>16</v>
      </c>
      <c r="H162">
        <f>C162+20</f>
        <v>1932</v>
      </c>
      <c r="I162">
        <f>INT(H162/100)+1</f>
        <v>20</v>
      </c>
      <c r="J162" t="b">
        <f>AND(I162=19,F162="France")</f>
        <v>0</v>
      </c>
      <c r="K162">
        <f>IF(E162-H162&gt;=50,1,0)</f>
        <v>0</v>
      </c>
      <c r="L162">
        <v>161</v>
      </c>
    </row>
    <row r="163" spans="1:12" x14ac:dyDescent="0.25">
      <c r="A163" t="s">
        <v>14</v>
      </c>
      <c r="B163" t="s">
        <v>15</v>
      </c>
      <c r="C163">
        <v>1922</v>
      </c>
      <c r="D163">
        <f>INT(C163/100)+1</f>
        <v>20</v>
      </c>
      <c r="E163">
        <v>1987</v>
      </c>
      <c r="F163" t="s">
        <v>12</v>
      </c>
      <c r="G163" t="s">
        <v>16</v>
      </c>
      <c r="H163">
        <f>C163+20</f>
        <v>1942</v>
      </c>
      <c r="I163">
        <f>INT(H163/100)+1</f>
        <v>20</v>
      </c>
      <c r="J163" t="b">
        <f>AND(I163=19,F163="France")</f>
        <v>0</v>
      </c>
      <c r="K163">
        <f>IF(E163-H163&gt;=50,1,0)</f>
        <v>0</v>
      </c>
      <c r="L163">
        <v>162</v>
      </c>
    </row>
    <row r="164" spans="1:12" x14ac:dyDescent="0.25">
      <c r="A164" t="s">
        <v>14</v>
      </c>
      <c r="B164" t="s">
        <v>15</v>
      </c>
      <c r="C164">
        <v>1932</v>
      </c>
      <c r="D164">
        <f>INT(C164/100)+1</f>
        <v>20</v>
      </c>
      <c r="E164">
        <v>1997</v>
      </c>
      <c r="F164" t="s">
        <v>12</v>
      </c>
      <c r="G164" t="s">
        <v>16</v>
      </c>
      <c r="H164">
        <f>C164+20</f>
        <v>1952</v>
      </c>
      <c r="I164">
        <f>INT(H164/100)+1</f>
        <v>20</v>
      </c>
      <c r="J164" t="b">
        <f>AND(I164=19,F164="France")</f>
        <v>0</v>
      </c>
      <c r="K164">
        <f>IF(E164-H164&gt;=50,1,0)</f>
        <v>0</v>
      </c>
      <c r="L164">
        <v>163</v>
      </c>
    </row>
    <row r="165" spans="1:12" x14ac:dyDescent="0.25">
      <c r="A165" t="s">
        <v>14</v>
      </c>
      <c r="B165" t="s">
        <v>15</v>
      </c>
      <c r="C165">
        <v>1942</v>
      </c>
      <c r="D165">
        <f>INT(C165/100)+1</f>
        <v>20</v>
      </c>
      <c r="E165">
        <v>2007</v>
      </c>
      <c r="F165" t="s">
        <v>12</v>
      </c>
      <c r="G165" t="s">
        <v>16</v>
      </c>
      <c r="H165">
        <f>C165+20</f>
        <v>1962</v>
      </c>
      <c r="I165">
        <f>INT(H165/100)+1</f>
        <v>20</v>
      </c>
      <c r="J165" t="b">
        <f>AND(I165=19,F165="France")</f>
        <v>0</v>
      </c>
      <c r="K165">
        <f>IF(E165-H165&gt;=50,1,0)</f>
        <v>0</v>
      </c>
      <c r="L165">
        <v>164</v>
      </c>
    </row>
    <row r="166" spans="1:12" x14ac:dyDescent="0.25">
      <c r="A166" t="s">
        <v>14</v>
      </c>
      <c r="B166" t="s">
        <v>15</v>
      </c>
      <c r="C166">
        <v>1952</v>
      </c>
      <c r="D166">
        <f>INT(C166/100)+1</f>
        <v>20</v>
      </c>
      <c r="E166">
        <v>2017</v>
      </c>
      <c r="F166" t="s">
        <v>12</v>
      </c>
      <c r="G166" t="s">
        <v>16</v>
      </c>
      <c r="H166">
        <f>C166+20</f>
        <v>1972</v>
      </c>
      <c r="I166">
        <f>INT(H166/100)+1</f>
        <v>20</v>
      </c>
      <c r="J166" t="b">
        <f>AND(I166=19,F166="France")</f>
        <v>0</v>
      </c>
      <c r="K166">
        <f>IF(E166-H166&gt;=50,1,0)</f>
        <v>0</v>
      </c>
      <c r="L166">
        <v>165</v>
      </c>
    </row>
    <row r="167" spans="1:12" x14ac:dyDescent="0.25">
      <c r="A167" t="s">
        <v>14</v>
      </c>
      <c r="B167" t="s">
        <v>15</v>
      </c>
      <c r="C167">
        <v>1962</v>
      </c>
      <c r="D167">
        <f>INT(C167/100)+1</f>
        <v>20</v>
      </c>
      <c r="E167">
        <v>2027</v>
      </c>
      <c r="F167" t="s">
        <v>12</v>
      </c>
      <c r="G167" t="s">
        <v>16</v>
      </c>
      <c r="H167">
        <f>C167+20</f>
        <v>1982</v>
      </c>
      <c r="I167">
        <f>INT(H167/100)+1</f>
        <v>20</v>
      </c>
      <c r="J167" t="b">
        <f>AND(I167=19,F167="France")</f>
        <v>0</v>
      </c>
      <c r="K167">
        <f>IF(E167-H167&gt;=50,1,0)</f>
        <v>0</v>
      </c>
      <c r="L167">
        <v>166</v>
      </c>
    </row>
    <row r="168" spans="1:12" x14ac:dyDescent="0.25">
      <c r="A168" t="s">
        <v>14</v>
      </c>
      <c r="B168" t="s">
        <v>15</v>
      </c>
      <c r="C168">
        <v>1972</v>
      </c>
      <c r="D168">
        <f>INT(C168/100)+1</f>
        <v>20</v>
      </c>
      <c r="E168">
        <v>2037</v>
      </c>
      <c r="F168" t="s">
        <v>12</v>
      </c>
      <c r="G168" t="s">
        <v>16</v>
      </c>
      <c r="H168">
        <f>C168+20</f>
        <v>1992</v>
      </c>
      <c r="I168">
        <f>INT(H168/100)+1</f>
        <v>20</v>
      </c>
      <c r="J168" t="b">
        <f>AND(I168=19,F168="France")</f>
        <v>0</v>
      </c>
      <c r="K168">
        <f>IF(E168-H168&gt;=50,1,0)</f>
        <v>0</v>
      </c>
      <c r="L168">
        <v>167</v>
      </c>
    </row>
    <row r="169" spans="1:12" x14ac:dyDescent="0.25">
      <c r="A169" t="s">
        <v>17</v>
      </c>
      <c r="B169" t="s">
        <v>18</v>
      </c>
      <c r="C169">
        <v>1900</v>
      </c>
      <c r="D169">
        <f>INT(C169/100)+1</f>
        <v>20</v>
      </c>
      <c r="E169">
        <v>1956</v>
      </c>
      <c r="F169" t="s">
        <v>12</v>
      </c>
      <c r="G169" t="s">
        <v>19</v>
      </c>
      <c r="H169">
        <f>C169+20</f>
        <v>1920</v>
      </c>
      <c r="I169">
        <f>INT(H169/100)+1</f>
        <v>20</v>
      </c>
      <c r="J169" t="b">
        <f>AND(I169=19,F169="France")</f>
        <v>0</v>
      </c>
      <c r="K169">
        <f>IF(E169-H169&gt;=50,1,0)</f>
        <v>0</v>
      </c>
      <c r="L169">
        <v>168</v>
      </c>
    </row>
    <row r="170" spans="1:12" x14ac:dyDescent="0.25">
      <c r="A170" t="s">
        <v>76</v>
      </c>
      <c r="B170" t="s">
        <v>77</v>
      </c>
      <c r="C170">
        <v>1902</v>
      </c>
      <c r="D170">
        <f>INT(C170/100)+1</f>
        <v>20</v>
      </c>
      <c r="E170">
        <v>1961</v>
      </c>
      <c r="F170" t="s">
        <v>8</v>
      </c>
      <c r="G170" t="s">
        <v>78</v>
      </c>
      <c r="H170">
        <f>C170+20</f>
        <v>1922</v>
      </c>
      <c r="I170">
        <f>INT(H170/100)+1</f>
        <v>20</v>
      </c>
      <c r="J170" t="b">
        <f>AND(I170=19,F170="France")</f>
        <v>0</v>
      </c>
      <c r="K170">
        <f>IF(E170-H170&gt;=50,1,0)</f>
        <v>0</v>
      </c>
      <c r="L170">
        <v>169</v>
      </c>
    </row>
    <row r="171" spans="1:12" x14ac:dyDescent="0.25">
      <c r="A171" t="s">
        <v>76</v>
      </c>
      <c r="B171" t="s">
        <v>77</v>
      </c>
      <c r="C171">
        <v>1912</v>
      </c>
      <c r="D171">
        <f>INT(C171/100)+1</f>
        <v>20</v>
      </c>
      <c r="E171">
        <v>1971</v>
      </c>
      <c r="F171" t="s">
        <v>8</v>
      </c>
      <c r="G171" t="s">
        <v>78</v>
      </c>
      <c r="H171">
        <f>C171+20</f>
        <v>1932</v>
      </c>
      <c r="I171">
        <f>INT(H171/100)+1</f>
        <v>20</v>
      </c>
      <c r="J171" t="b">
        <f>AND(I171=19,F171="France")</f>
        <v>0</v>
      </c>
      <c r="K171">
        <f>IF(E171-H171&gt;=50,1,0)</f>
        <v>0</v>
      </c>
      <c r="L171">
        <v>170</v>
      </c>
    </row>
    <row r="172" spans="1:12" x14ac:dyDescent="0.25">
      <c r="A172" t="s">
        <v>76</v>
      </c>
      <c r="B172" t="s">
        <v>77</v>
      </c>
      <c r="C172">
        <v>1922</v>
      </c>
      <c r="D172">
        <f>INT(C172/100)+1</f>
        <v>20</v>
      </c>
      <c r="E172">
        <v>1981</v>
      </c>
      <c r="F172" t="s">
        <v>8</v>
      </c>
      <c r="G172" t="s">
        <v>78</v>
      </c>
      <c r="H172">
        <f>C172+20</f>
        <v>1942</v>
      </c>
      <c r="I172">
        <f>INT(H172/100)+1</f>
        <v>20</v>
      </c>
      <c r="J172" t="b">
        <f>AND(I172=19,F172="France")</f>
        <v>0</v>
      </c>
      <c r="K172">
        <f>IF(E172-H172&gt;=50,1,0)</f>
        <v>0</v>
      </c>
      <c r="L172">
        <v>171</v>
      </c>
    </row>
    <row r="173" spans="1:12" x14ac:dyDescent="0.25">
      <c r="A173" t="s">
        <v>76</v>
      </c>
      <c r="B173" t="s">
        <v>77</v>
      </c>
      <c r="C173">
        <v>1932</v>
      </c>
      <c r="D173">
        <f>INT(C173/100)+1</f>
        <v>20</v>
      </c>
      <c r="E173">
        <v>1991</v>
      </c>
      <c r="F173" t="s">
        <v>8</v>
      </c>
      <c r="G173" t="s">
        <v>78</v>
      </c>
      <c r="H173">
        <f>C173+20</f>
        <v>1952</v>
      </c>
      <c r="I173">
        <f>INT(H173/100)+1</f>
        <v>20</v>
      </c>
      <c r="J173" t="b">
        <f>AND(I173=19,F173="France")</f>
        <v>0</v>
      </c>
      <c r="K173">
        <f>IF(E173-H173&gt;=50,1,0)</f>
        <v>0</v>
      </c>
      <c r="L173">
        <v>172</v>
      </c>
    </row>
    <row r="174" spans="1:12" x14ac:dyDescent="0.25">
      <c r="A174" t="s">
        <v>76</v>
      </c>
      <c r="B174" t="s">
        <v>77</v>
      </c>
      <c r="C174">
        <v>1942</v>
      </c>
      <c r="D174">
        <f>INT(C174/100)+1</f>
        <v>20</v>
      </c>
      <c r="E174">
        <v>2001</v>
      </c>
      <c r="F174" t="s">
        <v>8</v>
      </c>
      <c r="G174" t="s">
        <v>78</v>
      </c>
      <c r="H174">
        <f>C174+20</f>
        <v>1962</v>
      </c>
      <c r="I174">
        <f>INT(H174/100)+1</f>
        <v>20</v>
      </c>
      <c r="J174" t="b">
        <f>AND(I174=19,F174="France")</f>
        <v>0</v>
      </c>
      <c r="K174">
        <f>IF(E174-H174&gt;=50,1,0)</f>
        <v>0</v>
      </c>
      <c r="L174">
        <v>173</v>
      </c>
    </row>
    <row r="175" spans="1:12" x14ac:dyDescent="0.25">
      <c r="A175" t="s">
        <v>76</v>
      </c>
      <c r="B175" t="s">
        <v>77</v>
      </c>
      <c r="C175">
        <v>1952</v>
      </c>
      <c r="D175">
        <f>INT(C175/100)+1</f>
        <v>20</v>
      </c>
      <c r="E175">
        <v>2011</v>
      </c>
      <c r="F175" t="s">
        <v>8</v>
      </c>
      <c r="G175" t="s">
        <v>78</v>
      </c>
      <c r="H175">
        <f>C175+20</f>
        <v>1972</v>
      </c>
      <c r="I175">
        <f>INT(H175/100)+1</f>
        <v>20</v>
      </c>
      <c r="J175" t="b">
        <f>AND(I175=19,F175="France")</f>
        <v>0</v>
      </c>
      <c r="K175">
        <f>IF(E175-H175&gt;=50,1,0)</f>
        <v>0</v>
      </c>
      <c r="L175">
        <v>174</v>
      </c>
    </row>
    <row r="176" spans="1:12" x14ac:dyDescent="0.25">
      <c r="A176" t="s">
        <v>55</v>
      </c>
      <c r="B176" t="s">
        <v>56</v>
      </c>
      <c r="C176">
        <v>1904</v>
      </c>
      <c r="D176">
        <f>INT(C176/100)+1</f>
        <v>20</v>
      </c>
      <c r="E176">
        <v>1993</v>
      </c>
      <c r="F176" t="s">
        <v>12</v>
      </c>
      <c r="G176" t="s">
        <v>57</v>
      </c>
      <c r="H176">
        <f>C176+20</f>
        <v>1924</v>
      </c>
      <c r="I176">
        <f>INT(H176/100)+1</f>
        <v>20</v>
      </c>
      <c r="J176" t="b">
        <f>AND(I176=19,F176="France")</f>
        <v>0</v>
      </c>
      <c r="K176">
        <f>IF(E176-H176&gt;=50,1,0)</f>
        <v>1</v>
      </c>
      <c r="L176">
        <v>175</v>
      </c>
    </row>
    <row r="177" spans="1:12" x14ac:dyDescent="0.25">
      <c r="A177" t="s">
        <v>55</v>
      </c>
      <c r="B177" t="s">
        <v>56</v>
      </c>
      <c r="C177">
        <v>1914</v>
      </c>
      <c r="D177">
        <f>INT(C177/100)+1</f>
        <v>20</v>
      </c>
      <c r="E177">
        <v>2003</v>
      </c>
      <c r="F177" t="s">
        <v>12</v>
      </c>
      <c r="G177" t="s">
        <v>57</v>
      </c>
      <c r="H177">
        <f>C177+20</f>
        <v>1934</v>
      </c>
      <c r="I177">
        <f>INT(H177/100)+1</f>
        <v>20</v>
      </c>
      <c r="J177" t="b">
        <f>AND(I177=19,F177="France")</f>
        <v>0</v>
      </c>
      <c r="K177">
        <f>IF(E177-H177&gt;=50,1,0)</f>
        <v>1</v>
      </c>
      <c r="L177">
        <v>176</v>
      </c>
    </row>
    <row r="178" spans="1:12" x14ac:dyDescent="0.25">
      <c r="A178" t="s">
        <v>55</v>
      </c>
      <c r="B178" t="s">
        <v>56</v>
      </c>
      <c r="C178">
        <v>1924</v>
      </c>
      <c r="D178">
        <f>INT(C178/100)+1</f>
        <v>20</v>
      </c>
      <c r="E178">
        <v>2013</v>
      </c>
      <c r="F178" t="s">
        <v>12</v>
      </c>
      <c r="G178" t="s">
        <v>57</v>
      </c>
      <c r="H178">
        <f>C178+20</f>
        <v>1944</v>
      </c>
      <c r="I178">
        <f>INT(H178/100)+1</f>
        <v>20</v>
      </c>
      <c r="J178" t="b">
        <f>AND(I178=19,F178="France")</f>
        <v>0</v>
      </c>
      <c r="K178">
        <f>IF(E178-H178&gt;=50,1,0)</f>
        <v>1</v>
      </c>
      <c r="L178">
        <v>177</v>
      </c>
    </row>
    <row r="179" spans="1:12" x14ac:dyDescent="0.25">
      <c r="A179" t="s">
        <v>55</v>
      </c>
      <c r="B179" t="s">
        <v>56</v>
      </c>
      <c r="C179">
        <v>1934</v>
      </c>
      <c r="D179">
        <f>INT(C179/100)+1</f>
        <v>20</v>
      </c>
      <c r="E179">
        <v>2023</v>
      </c>
      <c r="F179" t="s">
        <v>12</v>
      </c>
      <c r="G179" t="s">
        <v>57</v>
      </c>
      <c r="H179">
        <f>C179+20</f>
        <v>1954</v>
      </c>
      <c r="I179">
        <f>INT(H179/100)+1</f>
        <v>20</v>
      </c>
      <c r="J179" t="b">
        <f>AND(I179=19,F179="France")</f>
        <v>0</v>
      </c>
      <c r="K179">
        <f>IF(E179-H179&gt;=50,1,0)</f>
        <v>1</v>
      </c>
      <c r="L179">
        <v>178</v>
      </c>
    </row>
    <row r="180" spans="1:12" x14ac:dyDescent="0.25">
      <c r="A180" t="s">
        <v>55</v>
      </c>
      <c r="B180" t="s">
        <v>56</v>
      </c>
      <c r="C180">
        <v>1944</v>
      </c>
      <c r="D180">
        <f>INT(C180/100)+1</f>
        <v>20</v>
      </c>
      <c r="E180">
        <v>2033</v>
      </c>
      <c r="F180" t="s">
        <v>12</v>
      </c>
      <c r="G180" t="s">
        <v>57</v>
      </c>
      <c r="H180">
        <f>C180+20</f>
        <v>1964</v>
      </c>
      <c r="I180">
        <f>INT(H180/100)+1</f>
        <v>20</v>
      </c>
      <c r="J180" t="b">
        <f>AND(I180=19,F180="France")</f>
        <v>0</v>
      </c>
      <c r="K180">
        <f>IF(E180-H180&gt;=50,1,0)</f>
        <v>1</v>
      </c>
      <c r="L180">
        <v>179</v>
      </c>
    </row>
    <row r="181" spans="1:12" x14ac:dyDescent="0.25">
      <c r="A181" t="s">
        <v>24</v>
      </c>
      <c r="B181" t="s">
        <v>25</v>
      </c>
      <c r="C181">
        <v>1904</v>
      </c>
      <c r="D181">
        <f>INT(C181/100)+1</f>
        <v>20</v>
      </c>
      <c r="E181">
        <v>1973</v>
      </c>
      <c r="F181" t="s">
        <v>26</v>
      </c>
      <c r="G181" t="s">
        <v>27</v>
      </c>
      <c r="H181">
        <f>C181+20</f>
        <v>1924</v>
      </c>
      <c r="I181">
        <f>INT(H181/100)+1</f>
        <v>20</v>
      </c>
      <c r="J181" t="b">
        <f>AND(I181=19,F181="France")</f>
        <v>0</v>
      </c>
      <c r="K181">
        <f>IF(E181-H181&gt;=50,1,0)</f>
        <v>0</v>
      </c>
      <c r="L181">
        <v>180</v>
      </c>
    </row>
    <row r="182" spans="1:12" x14ac:dyDescent="0.25">
      <c r="A182" t="s">
        <v>85</v>
      </c>
      <c r="B182" t="s">
        <v>86</v>
      </c>
      <c r="C182">
        <v>1908</v>
      </c>
      <c r="D182">
        <f>INT(C182/100)+1</f>
        <v>20</v>
      </c>
      <c r="E182">
        <v>1946</v>
      </c>
      <c r="F182" t="s">
        <v>87</v>
      </c>
      <c r="G182" t="s">
        <v>27</v>
      </c>
      <c r="H182">
        <f>C182+20</f>
        <v>1928</v>
      </c>
      <c r="I182">
        <f>INT(H182/100)+1</f>
        <v>20</v>
      </c>
      <c r="J182" t="b">
        <f>AND(I182=19,F182="France")</f>
        <v>0</v>
      </c>
      <c r="K182">
        <f>IF(E182-H182&gt;=50,1,0)</f>
        <v>0</v>
      </c>
      <c r="L182">
        <v>181</v>
      </c>
    </row>
    <row r="183" spans="1:12" x14ac:dyDescent="0.25">
      <c r="A183" t="s">
        <v>24</v>
      </c>
      <c r="B183" t="s">
        <v>25</v>
      </c>
      <c r="C183">
        <v>1914</v>
      </c>
      <c r="D183">
        <f>INT(C183/100)+1</f>
        <v>20</v>
      </c>
      <c r="E183">
        <v>1983</v>
      </c>
      <c r="F183" t="s">
        <v>26</v>
      </c>
      <c r="G183" t="s">
        <v>27</v>
      </c>
      <c r="H183">
        <f>C183+20</f>
        <v>1934</v>
      </c>
      <c r="I183">
        <f>INT(H183/100)+1</f>
        <v>20</v>
      </c>
      <c r="J183" t="b">
        <f>AND(I183=19,F183="France")</f>
        <v>0</v>
      </c>
      <c r="K183">
        <f>IF(E183-H183&gt;=50,1,0)</f>
        <v>0</v>
      </c>
      <c r="L183">
        <v>182</v>
      </c>
    </row>
    <row r="184" spans="1:12" x14ac:dyDescent="0.25">
      <c r="A184" t="s">
        <v>85</v>
      </c>
      <c r="B184" t="s">
        <v>86</v>
      </c>
      <c r="C184">
        <v>1918</v>
      </c>
      <c r="D184">
        <f>INT(C184/100)+1</f>
        <v>20</v>
      </c>
      <c r="E184">
        <v>1956</v>
      </c>
      <c r="F184" t="s">
        <v>87</v>
      </c>
      <c r="G184" t="s">
        <v>27</v>
      </c>
      <c r="H184">
        <f>C184+20</f>
        <v>1938</v>
      </c>
      <c r="I184">
        <f>INT(H184/100)+1</f>
        <v>20</v>
      </c>
      <c r="J184" t="b">
        <f>AND(I184=19,F184="France")</f>
        <v>0</v>
      </c>
      <c r="K184">
        <f>IF(E184-H184&gt;=50,1,0)</f>
        <v>0</v>
      </c>
      <c r="L184">
        <v>183</v>
      </c>
    </row>
    <row r="185" spans="1:12" x14ac:dyDescent="0.25">
      <c r="A185" t="s">
        <v>24</v>
      </c>
      <c r="B185" t="s">
        <v>25</v>
      </c>
      <c r="C185">
        <v>1924</v>
      </c>
      <c r="D185">
        <f>INT(C185/100)+1</f>
        <v>20</v>
      </c>
      <c r="E185">
        <v>1993</v>
      </c>
      <c r="F185" t="s">
        <v>26</v>
      </c>
      <c r="G185" t="s">
        <v>27</v>
      </c>
      <c r="H185">
        <f>C185+20</f>
        <v>1944</v>
      </c>
      <c r="I185">
        <f>INT(H185/100)+1</f>
        <v>20</v>
      </c>
      <c r="J185" t="b">
        <f>AND(I185=19,F185="France")</f>
        <v>0</v>
      </c>
      <c r="K185">
        <f>IF(E185-H185&gt;=50,1,0)</f>
        <v>0</v>
      </c>
      <c r="L185">
        <v>184</v>
      </c>
    </row>
    <row r="186" spans="1:12" x14ac:dyDescent="0.25">
      <c r="A186" t="s">
        <v>85</v>
      </c>
      <c r="B186" t="s">
        <v>86</v>
      </c>
      <c r="C186">
        <v>1928</v>
      </c>
      <c r="D186">
        <f>INT(C186/100)+1</f>
        <v>20</v>
      </c>
      <c r="E186">
        <v>1966</v>
      </c>
      <c r="F186" t="s">
        <v>87</v>
      </c>
      <c r="G186" t="s">
        <v>27</v>
      </c>
      <c r="H186">
        <f>C186+20</f>
        <v>1948</v>
      </c>
      <c r="I186">
        <f>INT(H186/100)+1</f>
        <v>20</v>
      </c>
      <c r="J186" t="b">
        <f>AND(I186=19,F186="France")</f>
        <v>0</v>
      </c>
      <c r="K186">
        <f>IF(E186-H186&gt;=50,1,0)</f>
        <v>0</v>
      </c>
      <c r="L186">
        <v>185</v>
      </c>
    </row>
    <row r="187" spans="1:12" x14ac:dyDescent="0.25">
      <c r="A187" t="s">
        <v>24</v>
      </c>
      <c r="B187" t="s">
        <v>25</v>
      </c>
      <c r="C187">
        <v>1934</v>
      </c>
      <c r="D187">
        <f>INT(C187/100)+1</f>
        <v>20</v>
      </c>
      <c r="E187">
        <v>2003</v>
      </c>
      <c r="F187" t="s">
        <v>26</v>
      </c>
      <c r="G187" t="s">
        <v>27</v>
      </c>
      <c r="H187">
        <f>C187+20</f>
        <v>1954</v>
      </c>
      <c r="I187">
        <f>INT(H187/100)+1</f>
        <v>20</v>
      </c>
      <c r="J187" t="b">
        <f>AND(I187=19,F187="France")</f>
        <v>0</v>
      </c>
      <c r="K187">
        <f>IF(E187-H187&gt;=50,1,0)</f>
        <v>0</v>
      </c>
      <c r="L187">
        <v>186</v>
      </c>
    </row>
    <row r="188" spans="1:12" x14ac:dyDescent="0.25">
      <c r="A188" t="s">
        <v>85</v>
      </c>
      <c r="B188" t="s">
        <v>86</v>
      </c>
      <c r="C188">
        <v>1938</v>
      </c>
      <c r="D188">
        <f>INT(C188/100)+1</f>
        <v>20</v>
      </c>
      <c r="E188">
        <v>1976</v>
      </c>
      <c r="F188" t="s">
        <v>87</v>
      </c>
      <c r="G188" t="s">
        <v>27</v>
      </c>
      <c r="H188">
        <f>C188+20</f>
        <v>1958</v>
      </c>
      <c r="I188">
        <f>INT(H188/100)+1</f>
        <v>20</v>
      </c>
      <c r="J188" t="b">
        <f>AND(I188=19,F188="France")</f>
        <v>0</v>
      </c>
      <c r="K188">
        <f>IF(E188-H188&gt;=50,1,0)</f>
        <v>0</v>
      </c>
      <c r="L188">
        <v>187</v>
      </c>
    </row>
    <row r="189" spans="1:12" x14ac:dyDescent="0.25">
      <c r="A189" t="s">
        <v>24</v>
      </c>
      <c r="B189" t="s">
        <v>25</v>
      </c>
      <c r="C189">
        <v>1944</v>
      </c>
      <c r="D189">
        <f>INT(C189/100)+1</f>
        <v>20</v>
      </c>
      <c r="E189">
        <v>2013</v>
      </c>
      <c r="F189" t="s">
        <v>26</v>
      </c>
      <c r="G189" t="s">
        <v>27</v>
      </c>
      <c r="H189">
        <f>C189+20</f>
        <v>1964</v>
      </c>
      <c r="I189">
        <f>INT(H189/100)+1</f>
        <v>20</v>
      </c>
      <c r="J189" t="b">
        <f>AND(I189=19,F189="France")</f>
        <v>0</v>
      </c>
      <c r="K189">
        <f>IF(E189-H189&gt;=50,1,0)</f>
        <v>0</v>
      </c>
      <c r="L189">
        <v>188</v>
      </c>
    </row>
    <row r="190" spans="1:12" x14ac:dyDescent="0.25">
      <c r="A190" t="s">
        <v>85</v>
      </c>
      <c r="B190" t="s">
        <v>86</v>
      </c>
      <c r="C190">
        <v>1948</v>
      </c>
      <c r="D190">
        <f>INT(C190/100)+1</f>
        <v>20</v>
      </c>
      <c r="E190">
        <v>1986</v>
      </c>
      <c r="F190" t="s">
        <v>87</v>
      </c>
      <c r="G190" t="s">
        <v>27</v>
      </c>
      <c r="H190">
        <f>C190+20</f>
        <v>1968</v>
      </c>
      <c r="I190">
        <f>INT(H190/100)+1</f>
        <v>20</v>
      </c>
      <c r="J190" t="b">
        <f>AND(I190=19,F190="France")</f>
        <v>0</v>
      </c>
      <c r="K190">
        <f>IF(E190-H190&gt;=50,1,0)</f>
        <v>0</v>
      </c>
      <c r="L190">
        <v>189</v>
      </c>
    </row>
    <row r="191" spans="1:12" x14ac:dyDescent="0.25">
      <c r="A191" t="s">
        <v>24</v>
      </c>
      <c r="B191" t="s">
        <v>25</v>
      </c>
      <c r="C191">
        <v>1954</v>
      </c>
      <c r="D191">
        <f>INT(C191/100)+1</f>
        <v>20</v>
      </c>
      <c r="E191">
        <v>2023</v>
      </c>
      <c r="F191" t="s">
        <v>26</v>
      </c>
      <c r="G191" t="s">
        <v>27</v>
      </c>
      <c r="H191">
        <f>C191+20</f>
        <v>1974</v>
      </c>
      <c r="I191">
        <f>INT(H191/100)+1</f>
        <v>20</v>
      </c>
      <c r="J191" t="b">
        <f>AND(I191=19,F191="France")</f>
        <v>0</v>
      </c>
      <c r="K191">
        <f>IF(E191-H191&gt;=50,1,0)</f>
        <v>0</v>
      </c>
      <c r="L191">
        <v>190</v>
      </c>
    </row>
    <row r="192" spans="1:12" x14ac:dyDescent="0.25">
      <c r="A192" t="s">
        <v>85</v>
      </c>
      <c r="B192" t="s">
        <v>86</v>
      </c>
      <c r="C192">
        <v>1958</v>
      </c>
      <c r="D192">
        <f>INT(C192/100)+1</f>
        <v>20</v>
      </c>
      <c r="E192">
        <v>1996</v>
      </c>
      <c r="F192" t="s">
        <v>87</v>
      </c>
      <c r="G192" t="s">
        <v>27</v>
      </c>
      <c r="H192">
        <f>C192+20</f>
        <v>1978</v>
      </c>
      <c r="I192">
        <f>INT(H192/100)+1</f>
        <v>20</v>
      </c>
      <c r="J192" t="b">
        <f>AND(I192=19,F192="France")</f>
        <v>0</v>
      </c>
      <c r="K192">
        <f>IF(E192-H192&gt;=50,1,0)</f>
        <v>0</v>
      </c>
      <c r="L192">
        <v>191</v>
      </c>
    </row>
    <row r="193" spans="1:12" x14ac:dyDescent="0.25">
      <c r="A193" t="s">
        <v>24</v>
      </c>
      <c r="B193" t="s">
        <v>25</v>
      </c>
      <c r="C193">
        <v>1964</v>
      </c>
      <c r="D193">
        <f>INT(C193/100)+1</f>
        <v>20</v>
      </c>
      <c r="E193">
        <v>2033</v>
      </c>
      <c r="F193" t="s">
        <v>26</v>
      </c>
      <c r="G193" t="s">
        <v>27</v>
      </c>
      <c r="H193">
        <f>C193+20</f>
        <v>1984</v>
      </c>
      <c r="I193">
        <f>INT(H193/100)+1</f>
        <v>20</v>
      </c>
      <c r="J193" t="b">
        <f>AND(I193=19,F193="France")</f>
        <v>0</v>
      </c>
      <c r="K193">
        <f>IF(E193-H193&gt;=50,1,0)</f>
        <v>0</v>
      </c>
      <c r="L193">
        <v>192</v>
      </c>
    </row>
    <row r="194" spans="1:12" x14ac:dyDescent="0.25">
      <c r="A194" t="s">
        <v>85</v>
      </c>
      <c r="B194" t="s">
        <v>86</v>
      </c>
      <c r="C194">
        <v>1968</v>
      </c>
      <c r="D194">
        <f>INT(C194/100)+1</f>
        <v>20</v>
      </c>
      <c r="E194">
        <v>2006</v>
      </c>
      <c r="F194" t="s">
        <v>87</v>
      </c>
      <c r="G194" t="s">
        <v>27</v>
      </c>
      <c r="H194">
        <f>C194+20</f>
        <v>1988</v>
      </c>
      <c r="I194">
        <f>INT(H194/100)+1</f>
        <v>20</v>
      </c>
      <c r="J194" t="b">
        <f>AND(I194=19,F194="France")</f>
        <v>0</v>
      </c>
      <c r="K194">
        <f>IF(E194-H194&gt;=50,1,0)</f>
        <v>0</v>
      </c>
      <c r="L194">
        <v>193</v>
      </c>
    </row>
    <row r="195" spans="1:12" x14ac:dyDescent="0.25">
      <c r="A195" t="s">
        <v>24</v>
      </c>
      <c r="B195" t="s">
        <v>25</v>
      </c>
      <c r="C195">
        <v>1974</v>
      </c>
      <c r="D195">
        <f>INT(C195/100)+1</f>
        <v>20</v>
      </c>
      <c r="E195">
        <v>2043</v>
      </c>
      <c r="F195" t="s">
        <v>26</v>
      </c>
      <c r="G195" t="s">
        <v>27</v>
      </c>
      <c r="H195">
        <f>C195+20</f>
        <v>1994</v>
      </c>
      <c r="I195">
        <f>INT(H195/100)+1</f>
        <v>20</v>
      </c>
      <c r="J195" t="b">
        <f>AND(I195=19,F195="France")</f>
        <v>0</v>
      </c>
      <c r="K195">
        <f>IF(E195-H195&gt;=50,1,0)</f>
        <v>0</v>
      </c>
      <c r="L195">
        <v>194</v>
      </c>
    </row>
    <row r="196" spans="1:12" x14ac:dyDescent="0.25">
      <c r="A196" t="s">
        <v>79</v>
      </c>
      <c r="B196" t="s">
        <v>80</v>
      </c>
      <c r="C196">
        <v>1904</v>
      </c>
      <c r="D196">
        <f>INT(C196/100)+1</f>
        <v>20</v>
      </c>
      <c r="E196">
        <v>1941</v>
      </c>
      <c r="F196" t="s">
        <v>50</v>
      </c>
      <c r="G196" t="s">
        <v>51</v>
      </c>
      <c r="H196">
        <f>C196+20</f>
        <v>1924</v>
      </c>
      <c r="I196">
        <f>INT(H196/100)+1</f>
        <v>20</v>
      </c>
      <c r="J196" t="b">
        <f>AND(I196=19,F196="France")</f>
        <v>0</v>
      </c>
      <c r="K196">
        <f>IF(E196-H196&gt;=50,1,0)</f>
        <v>0</v>
      </c>
      <c r="L196">
        <v>195</v>
      </c>
    </row>
    <row r="197" spans="1:12" x14ac:dyDescent="0.25">
      <c r="A197" t="s">
        <v>79</v>
      </c>
      <c r="B197" t="s">
        <v>80</v>
      </c>
      <c r="C197">
        <v>1914</v>
      </c>
      <c r="D197">
        <f>INT(C197/100)+1</f>
        <v>20</v>
      </c>
      <c r="E197">
        <v>1951</v>
      </c>
      <c r="F197" t="s">
        <v>50</v>
      </c>
      <c r="G197" t="s">
        <v>51</v>
      </c>
      <c r="H197">
        <f>C197+20</f>
        <v>1934</v>
      </c>
      <c r="I197">
        <f>INT(H197/100)+1</f>
        <v>20</v>
      </c>
      <c r="J197" t="b">
        <f>AND(I197=19,F197="France")</f>
        <v>0</v>
      </c>
      <c r="K197">
        <f>IF(E197-H197&gt;=50,1,0)</f>
        <v>0</v>
      </c>
      <c r="L197">
        <v>196</v>
      </c>
    </row>
    <row r="198" spans="1:12" x14ac:dyDescent="0.25">
      <c r="A198" t="s">
        <v>79</v>
      </c>
      <c r="B198" t="s">
        <v>80</v>
      </c>
      <c r="C198">
        <v>1924</v>
      </c>
      <c r="D198">
        <f>INT(C198/100)+1</f>
        <v>20</v>
      </c>
      <c r="E198">
        <v>1961</v>
      </c>
      <c r="F198" t="s">
        <v>50</v>
      </c>
      <c r="G198" t="s">
        <v>51</v>
      </c>
      <c r="H198">
        <f>C198+20</f>
        <v>1944</v>
      </c>
      <c r="I198">
        <f>INT(H198/100)+1</f>
        <v>20</v>
      </c>
      <c r="J198" t="b">
        <f>AND(I198=19,F198="France")</f>
        <v>0</v>
      </c>
      <c r="K198">
        <f>IF(E198-H198&gt;=50,1,0)</f>
        <v>0</v>
      </c>
      <c r="L198">
        <v>197</v>
      </c>
    </row>
    <row r="199" spans="1:12" x14ac:dyDescent="0.25">
      <c r="A199" t="s">
        <v>10</v>
      </c>
      <c r="B199" t="s">
        <v>11</v>
      </c>
      <c r="C199">
        <v>2002</v>
      </c>
      <c r="D199">
        <f>INT(C199/100)+1</f>
        <v>21</v>
      </c>
      <c r="E199">
        <v>2033</v>
      </c>
      <c r="F199" t="s">
        <v>12</v>
      </c>
      <c r="G199" t="s">
        <v>13</v>
      </c>
      <c r="H199">
        <f>C199+20</f>
        <v>2022</v>
      </c>
      <c r="I199">
        <f>INT(H199/100)+1</f>
        <v>21</v>
      </c>
      <c r="J199" t="b">
        <f>AND(I199=19,F199="France")</f>
        <v>0</v>
      </c>
      <c r="K199">
        <f>IF(E199-H199&gt;=50,1,0)</f>
        <v>0</v>
      </c>
      <c r="L199">
        <v>198</v>
      </c>
    </row>
    <row r="200" spans="1:12" x14ac:dyDescent="0.25">
      <c r="A200" t="s">
        <v>52</v>
      </c>
      <c r="B200" t="s">
        <v>53</v>
      </c>
      <c r="C200">
        <v>2003</v>
      </c>
      <c r="D200">
        <f>INT(C200/100)+1</f>
        <v>21</v>
      </c>
      <c r="E200">
        <v>2080</v>
      </c>
      <c r="F200" t="s">
        <v>12</v>
      </c>
      <c r="G200" t="s">
        <v>54</v>
      </c>
      <c r="H200">
        <f>C200+20</f>
        <v>2023</v>
      </c>
      <c r="I200">
        <f>INT(H200/100)+1</f>
        <v>21</v>
      </c>
      <c r="J200" t="b">
        <f>AND(I200=19,F200="France")</f>
        <v>0</v>
      </c>
      <c r="K200">
        <f>IF(E200-H200&gt;=50,1,0)</f>
        <v>1</v>
      </c>
      <c r="L200">
        <v>199</v>
      </c>
    </row>
    <row r="201" spans="1:12" x14ac:dyDescent="0.25">
      <c r="A201" t="s">
        <v>52</v>
      </c>
      <c r="B201" t="s">
        <v>53</v>
      </c>
      <c r="C201">
        <v>2013</v>
      </c>
      <c r="D201">
        <f>INT(C201/100)+1</f>
        <v>21</v>
      </c>
      <c r="E201">
        <v>2090</v>
      </c>
      <c r="F201" t="s">
        <v>12</v>
      </c>
      <c r="G201" t="s">
        <v>54</v>
      </c>
      <c r="H201">
        <f>C201+20</f>
        <v>2033</v>
      </c>
      <c r="I201">
        <f>INT(H201/100)+1</f>
        <v>21</v>
      </c>
      <c r="J201" t="b">
        <f>AND(I201=19,F201="France")</f>
        <v>0</v>
      </c>
      <c r="K201">
        <f>IF(E201-H201&gt;=50,1,0)</f>
        <v>1</v>
      </c>
      <c r="L201">
        <v>200</v>
      </c>
    </row>
  </sheetData>
  <autoFilter ref="A1:L1" xr:uid="{FD37DE01-A7ED-4A01-8749-020AB3869DE9}">
    <sortState xmlns:xlrd2="http://schemas.microsoft.com/office/spreadsheetml/2017/richdata2" ref="A2:L201">
      <sortCondition ref="L1"/>
    </sortState>
  </autoFilter>
  <sortState xmlns:xlrd2="http://schemas.microsoft.com/office/spreadsheetml/2017/richdata2" ref="A2:G201">
    <sortCondition ref="D2:D201"/>
    <sortCondition ref="G2:G201"/>
  </sortState>
  <conditionalFormatting sqref="A2:A201">
    <cfRule type="expression" dxfId="12" priority="2">
      <formula>AND(I2=19,F2="France")</formula>
    </cfRule>
  </conditionalFormatting>
  <conditionalFormatting sqref="B2:B201">
    <cfRule type="expression" dxfId="11" priority="1">
      <formula>E2-H2&gt;=50</formula>
    </cfRule>
  </conditionalFormatting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E1E83-957C-4237-A319-3DF28B490189}">
  <sheetPr codeName="List3"/>
  <dimension ref="A1:BI209"/>
  <sheetViews>
    <sheetView topLeftCell="AQ10" zoomScale="115" zoomScaleNormal="115" workbookViewId="0">
      <selection activeCell="AU19" sqref="AT19:AU19"/>
    </sheetView>
  </sheetViews>
  <sheetFormatPr defaultRowHeight="15" x14ac:dyDescent="0.25"/>
  <cols>
    <col min="1" max="1" width="12.28515625" bestFit="1" customWidth="1"/>
    <col min="2" max="2" width="12.28515625" customWidth="1"/>
    <col min="3" max="3" width="15.7109375" bestFit="1" customWidth="1"/>
    <col min="8" max="8" width="26.42578125" bestFit="1" customWidth="1"/>
    <col min="38" max="38" width="15.7109375" bestFit="1" customWidth="1"/>
    <col min="39" max="39" width="15.7109375" customWidth="1"/>
    <col min="49" max="49" width="17.85546875" bestFit="1" customWidth="1"/>
    <col min="50" max="50" width="18.85546875" bestFit="1" customWidth="1"/>
    <col min="51" max="51" width="17.85546875" bestFit="1" customWidth="1"/>
    <col min="52" max="52" width="18.85546875" bestFit="1" customWidth="1"/>
    <col min="53" max="53" width="26.42578125" bestFit="1" customWidth="1"/>
    <col min="54" max="54" width="18.85546875" bestFit="1" customWidth="1"/>
    <col min="55" max="55" width="17.85546875" bestFit="1" customWidth="1"/>
    <col min="56" max="59" width="18.85546875" bestFit="1" customWidth="1"/>
    <col min="60" max="60" width="17.85546875" bestFit="1" customWidth="1"/>
    <col min="61" max="61" width="15" bestFit="1" customWidth="1"/>
  </cols>
  <sheetData>
    <row r="1" spans="1:60" x14ac:dyDescent="0.25">
      <c r="C1" t="s">
        <v>1</v>
      </c>
      <c r="D1" t="s">
        <v>2</v>
      </c>
      <c r="E1" t="s">
        <v>88</v>
      </c>
      <c r="F1" t="s">
        <v>3</v>
      </c>
      <c r="G1" t="s">
        <v>4</v>
      </c>
      <c r="H1" t="s">
        <v>5</v>
      </c>
      <c r="I1" t="s">
        <v>0</v>
      </c>
      <c r="AL1" t="s">
        <v>1</v>
      </c>
      <c r="AM1" t="s">
        <v>0</v>
      </c>
      <c r="AN1" t="s">
        <v>2</v>
      </c>
      <c r="AO1" t="s">
        <v>88</v>
      </c>
      <c r="AP1" t="s">
        <v>3</v>
      </c>
      <c r="AQ1" t="s">
        <v>4</v>
      </c>
      <c r="AR1" t="s">
        <v>5</v>
      </c>
      <c r="AS1" t="s">
        <v>95</v>
      </c>
    </row>
    <row r="2" spans="1:60" x14ac:dyDescent="0.25">
      <c r="A2" t="str">
        <f>_xlfn.CONCAT(C2,D2)</f>
        <v>Alighieri1265</v>
      </c>
      <c r="C2" t="s">
        <v>64</v>
      </c>
      <c r="D2">
        <v>1265</v>
      </c>
      <c r="E2">
        <f>INT(D2/100)+1</f>
        <v>13</v>
      </c>
      <c r="F2">
        <v>1321</v>
      </c>
      <c r="G2" t="s">
        <v>65</v>
      </c>
      <c r="H2" t="s">
        <v>66</v>
      </c>
      <c r="I2" t="s">
        <v>63</v>
      </c>
      <c r="AM2">
        <v>8</v>
      </c>
      <c r="AN2">
        <v>3</v>
      </c>
      <c r="AO2">
        <v>4</v>
      </c>
      <c r="AP2">
        <v>5</v>
      </c>
      <c r="AQ2">
        <v>6</v>
      </c>
      <c r="AR2">
        <v>7</v>
      </c>
      <c r="AS2" t="s">
        <v>96</v>
      </c>
      <c r="AU2" t="s">
        <v>97</v>
      </c>
    </row>
    <row r="3" spans="1:60" x14ac:dyDescent="0.25">
      <c r="A3" t="str">
        <f>_xlfn.CONCAT(C3,D3)</f>
        <v>Alighieri1275</v>
      </c>
      <c r="C3" t="s">
        <v>64</v>
      </c>
      <c r="D3">
        <v>1275</v>
      </c>
      <c r="E3">
        <f>INT(D3/100)+1</f>
        <v>13</v>
      </c>
      <c r="F3">
        <v>1331</v>
      </c>
      <c r="G3" t="s">
        <v>65</v>
      </c>
      <c r="H3" t="s">
        <v>66</v>
      </c>
      <c r="I3" t="s">
        <v>63</v>
      </c>
      <c r="AL3" t="s">
        <v>98</v>
      </c>
      <c r="AM3" t="str">
        <f>VLOOKUP($AL3,$A$2:$I$209,AM$2,FALSE)</f>
        <v>Epic poetry</v>
      </c>
      <c r="AN3" t="str">
        <f t="shared" ref="AN3:AR18" si="0">VLOOKUP($AL3,$A$2:$I$209,AN$2,FALSE)</f>
        <v>Alighieri</v>
      </c>
      <c r="AO3">
        <f t="shared" si="0"/>
        <v>1265</v>
      </c>
      <c r="AP3">
        <f t="shared" si="0"/>
        <v>13</v>
      </c>
      <c r="AQ3">
        <f t="shared" si="0"/>
        <v>1321</v>
      </c>
      <c r="AR3" t="str">
        <f t="shared" si="0"/>
        <v>Italy</v>
      </c>
    </row>
    <row r="4" spans="1:60" x14ac:dyDescent="0.25">
      <c r="A4" t="str">
        <f>_xlfn.CONCAT(C4,D4)</f>
        <v>Alighieri1285</v>
      </c>
      <c r="C4" t="s">
        <v>64</v>
      </c>
      <c r="D4">
        <v>1285</v>
      </c>
      <c r="E4">
        <f>INT(D4/100)+1</f>
        <v>13</v>
      </c>
      <c r="F4">
        <v>1341</v>
      </c>
      <c r="G4" t="s">
        <v>65</v>
      </c>
      <c r="H4" t="s">
        <v>66</v>
      </c>
      <c r="I4" t="s">
        <v>63</v>
      </c>
      <c r="AL4" t="s">
        <v>99</v>
      </c>
      <c r="AM4" t="str">
        <f t="shared" ref="AM4:AR28" si="1">VLOOKUP($AL4,$A$2:$I$209,AM$2,FALSE)</f>
        <v>Epic poetry</v>
      </c>
      <c r="AN4" t="str">
        <f t="shared" si="0"/>
        <v>Alighieri</v>
      </c>
      <c r="AO4">
        <f t="shared" si="0"/>
        <v>1275</v>
      </c>
      <c r="AP4">
        <f t="shared" si="0"/>
        <v>13</v>
      </c>
      <c r="AQ4">
        <f t="shared" si="0"/>
        <v>1331</v>
      </c>
      <c r="AR4" t="str">
        <f t="shared" si="0"/>
        <v>Italy</v>
      </c>
    </row>
    <row r="5" spans="1:60" x14ac:dyDescent="0.25">
      <c r="A5" t="str">
        <f>_xlfn.CONCAT(C5,D5)</f>
        <v>Alighieri1295</v>
      </c>
      <c r="C5" t="s">
        <v>64</v>
      </c>
      <c r="D5">
        <v>1295</v>
      </c>
      <c r="E5">
        <f>INT(D5/100)+1</f>
        <v>13</v>
      </c>
      <c r="F5">
        <v>1351</v>
      </c>
      <c r="G5" t="s">
        <v>65</v>
      </c>
      <c r="H5" t="s">
        <v>66</v>
      </c>
      <c r="I5" t="s">
        <v>63</v>
      </c>
      <c r="AL5" t="s">
        <v>100</v>
      </c>
      <c r="AM5" t="str">
        <f t="shared" si="1"/>
        <v>Epic poetry</v>
      </c>
      <c r="AN5" t="str">
        <f t="shared" si="0"/>
        <v>Alighieri</v>
      </c>
      <c r="AO5">
        <f t="shared" si="0"/>
        <v>1285</v>
      </c>
      <c r="AP5">
        <f t="shared" si="0"/>
        <v>13</v>
      </c>
      <c r="AQ5">
        <f t="shared" si="0"/>
        <v>1341</v>
      </c>
      <c r="AR5" t="str">
        <f t="shared" si="0"/>
        <v>Italy</v>
      </c>
    </row>
    <row r="6" spans="1:60" x14ac:dyDescent="0.25">
      <c r="A6" t="str">
        <f>_xlfn.CONCAT(C6,D6)</f>
        <v>Jalaluddin1207</v>
      </c>
      <c r="C6" t="s">
        <v>21</v>
      </c>
      <c r="D6">
        <v>1207</v>
      </c>
      <c r="E6">
        <f>INT(D6/100)+1</f>
        <v>13</v>
      </c>
      <c r="F6">
        <v>1273</v>
      </c>
      <c r="G6" t="s">
        <v>22</v>
      </c>
      <c r="H6" t="s">
        <v>23</v>
      </c>
      <c r="I6" t="s">
        <v>20</v>
      </c>
      <c r="AL6" t="s">
        <v>101</v>
      </c>
      <c r="AM6" t="str">
        <f t="shared" si="1"/>
        <v>Epic poetry</v>
      </c>
      <c r="AN6" t="str">
        <f t="shared" si="0"/>
        <v>Alighieri</v>
      </c>
      <c r="AO6">
        <f t="shared" si="0"/>
        <v>1295</v>
      </c>
      <c r="AP6">
        <f t="shared" si="0"/>
        <v>13</v>
      </c>
      <c r="AQ6">
        <f t="shared" si="0"/>
        <v>1351</v>
      </c>
      <c r="AR6" t="str">
        <f t="shared" si="0"/>
        <v>Italy</v>
      </c>
    </row>
    <row r="7" spans="1:60" x14ac:dyDescent="0.25">
      <c r="A7" t="str">
        <f>_xlfn.CONCAT(C7,D7)</f>
        <v>Jalaluddin1217</v>
      </c>
      <c r="C7" t="s">
        <v>21</v>
      </c>
      <c r="D7">
        <v>1217</v>
      </c>
      <c r="E7">
        <f>INT(D7/100)+1</f>
        <v>13</v>
      </c>
      <c r="F7">
        <v>1283</v>
      </c>
      <c r="G7" t="s">
        <v>22</v>
      </c>
      <c r="H7" t="s">
        <v>23</v>
      </c>
      <c r="I7" t="s">
        <v>20</v>
      </c>
      <c r="AL7" t="s">
        <v>102</v>
      </c>
      <c r="AM7" t="str">
        <f t="shared" si="1"/>
        <v>Sufi poetry</v>
      </c>
      <c r="AN7" t="str">
        <f t="shared" si="0"/>
        <v>Jalaluddin</v>
      </c>
      <c r="AO7">
        <f t="shared" si="0"/>
        <v>1207</v>
      </c>
      <c r="AP7">
        <f t="shared" si="0"/>
        <v>13</v>
      </c>
      <c r="AQ7">
        <f t="shared" si="0"/>
        <v>1273</v>
      </c>
      <c r="AR7" t="str">
        <f t="shared" si="0"/>
        <v>Persia</v>
      </c>
    </row>
    <row r="8" spans="1:60" x14ac:dyDescent="0.25">
      <c r="A8" t="str">
        <f>_xlfn.CONCAT(C8,D8)</f>
        <v>Jalaluddin1227</v>
      </c>
      <c r="C8" t="s">
        <v>21</v>
      </c>
      <c r="D8">
        <v>1227</v>
      </c>
      <c r="E8">
        <f>INT(D8/100)+1</f>
        <v>13</v>
      </c>
      <c r="F8">
        <v>1293</v>
      </c>
      <c r="G8" t="s">
        <v>22</v>
      </c>
      <c r="H8" t="s">
        <v>23</v>
      </c>
      <c r="I8" t="s">
        <v>20</v>
      </c>
      <c r="AL8" t="s">
        <v>103</v>
      </c>
      <c r="AM8" t="str">
        <f t="shared" si="1"/>
        <v>Sufi poetry</v>
      </c>
      <c r="AN8" t="str">
        <f t="shared" si="0"/>
        <v>Jalaluddin</v>
      </c>
      <c r="AO8">
        <f t="shared" si="0"/>
        <v>1217</v>
      </c>
      <c r="AP8">
        <f t="shared" si="0"/>
        <v>13</v>
      </c>
      <c r="AQ8">
        <f t="shared" si="0"/>
        <v>1283</v>
      </c>
      <c r="AR8" t="str">
        <f t="shared" si="0"/>
        <v>Persia</v>
      </c>
    </row>
    <row r="9" spans="1:60" x14ac:dyDescent="0.25">
      <c r="A9" t="str">
        <f>_xlfn.CONCAT(C9,D9)</f>
        <v>Jalaluddin1237</v>
      </c>
      <c r="C9" t="s">
        <v>21</v>
      </c>
      <c r="D9">
        <v>1237</v>
      </c>
      <c r="E9">
        <f>INT(D9/100)+1</f>
        <v>13</v>
      </c>
      <c r="F9">
        <v>1303</v>
      </c>
      <c r="G9" t="s">
        <v>22</v>
      </c>
      <c r="H9" t="s">
        <v>23</v>
      </c>
      <c r="I9" t="s">
        <v>20</v>
      </c>
      <c r="AL9" t="s">
        <v>104</v>
      </c>
      <c r="AM9" t="str">
        <f t="shared" si="1"/>
        <v>Sufi poetry</v>
      </c>
      <c r="AN9" t="str">
        <f t="shared" si="0"/>
        <v>Jalaluddin</v>
      </c>
      <c r="AO9">
        <f t="shared" si="0"/>
        <v>1227</v>
      </c>
      <c r="AP9">
        <f t="shared" si="0"/>
        <v>13</v>
      </c>
      <c r="AQ9">
        <f t="shared" si="0"/>
        <v>1293</v>
      </c>
      <c r="AR9" t="str">
        <f t="shared" si="0"/>
        <v>Persia</v>
      </c>
    </row>
    <row r="10" spans="1:60" x14ac:dyDescent="0.25">
      <c r="A10" t="str">
        <f>_xlfn.CONCAT(C10,D10)</f>
        <v>Jalaluddin1247</v>
      </c>
      <c r="C10" t="s">
        <v>21</v>
      </c>
      <c r="D10">
        <v>1247</v>
      </c>
      <c r="E10">
        <f>INT(D10/100)+1</f>
        <v>13</v>
      </c>
      <c r="F10">
        <v>1313</v>
      </c>
      <c r="G10" t="s">
        <v>22</v>
      </c>
      <c r="H10" t="s">
        <v>23</v>
      </c>
      <c r="I10" t="s">
        <v>20</v>
      </c>
      <c r="AL10" t="s">
        <v>105</v>
      </c>
      <c r="AM10" t="str">
        <f t="shared" si="1"/>
        <v>Sufi poetry</v>
      </c>
      <c r="AN10" t="str">
        <f t="shared" si="0"/>
        <v>Jalaluddin</v>
      </c>
      <c r="AO10">
        <f t="shared" si="0"/>
        <v>1237</v>
      </c>
      <c r="AP10">
        <f t="shared" si="0"/>
        <v>13</v>
      </c>
      <c r="AQ10">
        <f t="shared" si="0"/>
        <v>1303</v>
      </c>
      <c r="AR10" t="str">
        <f t="shared" si="0"/>
        <v>Persia</v>
      </c>
    </row>
    <row r="11" spans="1:60" x14ac:dyDescent="0.25">
      <c r="A11" t="str">
        <f>_xlfn.CONCAT(C11,D11)</f>
        <v>Jalaluddin1257</v>
      </c>
      <c r="C11" t="s">
        <v>21</v>
      </c>
      <c r="D11">
        <v>1257</v>
      </c>
      <c r="E11">
        <f>INT(D11/100)+1</f>
        <v>13</v>
      </c>
      <c r="F11">
        <v>1323</v>
      </c>
      <c r="G11" t="s">
        <v>22</v>
      </c>
      <c r="H11" t="s">
        <v>23</v>
      </c>
      <c r="I11" t="s">
        <v>20</v>
      </c>
      <c r="AL11" t="s">
        <v>106</v>
      </c>
      <c r="AM11" t="str">
        <f t="shared" si="1"/>
        <v>Sufi poetry</v>
      </c>
      <c r="AN11" t="str">
        <f t="shared" si="0"/>
        <v>Jalaluddin</v>
      </c>
      <c r="AO11">
        <f t="shared" si="0"/>
        <v>1247</v>
      </c>
      <c r="AP11">
        <f t="shared" si="0"/>
        <v>13</v>
      </c>
      <c r="AQ11">
        <f t="shared" si="0"/>
        <v>1313</v>
      </c>
      <c r="AR11" t="str">
        <f t="shared" si="0"/>
        <v>Persia</v>
      </c>
    </row>
    <row r="12" spans="1:60" x14ac:dyDescent="0.25">
      <c r="A12" t="str">
        <f>_xlfn.CONCAT(C12,D12)</f>
        <v>Jalaluddin1267</v>
      </c>
      <c r="C12" t="s">
        <v>21</v>
      </c>
      <c r="D12">
        <v>1267</v>
      </c>
      <c r="E12">
        <f>INT(D12/100)+1</f>
        <v>13</v>
      </c>
      <c r="F12">
        <v>1333</v>
      </c>
      <c r="G12" t="s">
        <v>22</v>
      </c>
      <c r="H12" t="s">
        <v>23</v>
      </c>
      <c r="I12" t="s">
        <v>20</v>
      </c>
      <c r="AL12" t="s">
        <v>107</v>
      </c>
      <c r="AM12" t="str">
        <f t="shared" si="1"/>
        <v>Sufi poetry</v>
      </c>
      <c r="AN12" t="str">
        <f t="shared" si="0"/>
        <v>Jalaluddin</v>
      </c>
      <c r="AO12">
        <f t="shared" si="0"/>
        <v>1257</v>
      </c>
      <c r="AP12">
        <f t="shared" si="0"/>
        <v>13</v>
      </c>
      <c r="AQ12">
        <f t="shared" si="0"/>
        <v>1323</v>
      </c>
      <c r="AR12" t="str">
        <f t="shared" si="0"/>
        <v>Persia</v>
      </c>
      <c r="AW12" s="1" t="s">
        <v>5</v>
      </c>
      <c r="AX12" t="s">
        <v>94</v>
      </c>
      <c r="BA12" s="1" t="s">
        <v>2</v>
      </c>
      <c r="BB12" t="s">
        <v>94</v>
      </c>
      <c r="BF12" s="1" t="s">
        <v>5</v>
      </c>
      <c r="BG12" t="s">
        <v>94</v>
      </c>
    </row>
    <row r="13" spans="1:60" x14ac:dyDescent="0.25">
      <c r="A13" t="str">
        <f>_xlfn.CONCAT(C13,D13)</f>
        <v>Jalaluddin1277</v>
      </c>
      <c r="C13" t="s">
        <v>21</v>
      </c>
      <c r="D13">
        <v>1277</v>
      </c>
      <c r="E13">
        <f>INT(D13/100)+1</f>
        <v>13</v>
      </c>
      <c r="F13">
        <v>1343</v>
      </c>
      <c r="G13" t="s">
        <v>22</v>
      </c>
      <c r="H13" t="s">
        <v>23</v>
      </c>
      <c r="I13" t="s">
        <v>20</v>
      </c>
      <c r="AL13" t="s">
        <v>108</v>
      </c>
      <c r="AM13" t="str">
        <f t="shared" si="1"/>
        <v>Sufi poetry</v>
      </c>
      <c r="AN13" t="str">
        <f t="shared" si="0"/>
        <v>Jalaluddin</v>
      </c>
      <c r="AO13">
        <f t="shared" si="0"/>
        <v>1267</v>
      </c>
      <c r="AP13">
        <f t="shared" si="0"/>
        <v>13</v>
      </c>
      <c r="AQ13">
        <f t="shared" si="0"/>
        <v>1333</v>
      </c>
      <c r="AR13" t="str">
        <f t="shared" si="0"/>
        <v>Persia</v>
      </c>
    </row>
    <row r="14" spans="1:60" x14ac:dyDescent="0.25">
      <c r="A14" t="str">
        <f>_xlfn.CONCAT(C14,D14)</f>
        <v>Alighieri1305</v>
      </c>
      <c r="C14" t="s">
        <v>64</v>
      </c>
      <c r="D14">
        <v>1305</v>
      </c>
      <c r="E14">
        <f>INT(D14/100)+1</f>
        <v>14</v>
      </c>
      <c r="F14">
        <v>1361</v>
      </c>
      <c r="G14" t="s">
        <v>65</v>
      </c>
      <c r="H14" t="s">
        <v>66</v>
      </c>
      <c r="I14" t="s">
        <v>63</v>
      </c>
      <c r="AL14" t="s">
        <v>109</v>
      </c>
      <c r="AM14" t="str">
        <f t="shared" si="1"/>
        <v>Sufi poetry</v>
      </c>
      <c r="AN14" t="str">
        <f t="shared" si="0"/>
        <v>Jalaluddin</v>
      </c>
      <c r="AO14">
        <f t="shared" si="0"/>
        <v>1277</v>
      </c>
      <c r="AP14">
        <f t="shared" si="0"/>
        <v>13</v>
      </c>
      <c r="AQ14">
        <f t="shared" si="0"/>
        <v>1343</v>
      </c>
      <c r="AR14" t="str">
        <f t="shared" si="0"/>
        <v>Persia</v>
      </c>
      <c r="AW14" s="1" t="s">
        <v>88</v>
      </c>
      <c r="AX14" s="1" t="s">
        <v>4</v>
      </c>
      <c r="AY14" t="s">
        <v>93</v>
      </c>
      <c r="BA14" s="1" t="s">
        <v>5</v>
      </c>
      <c r="BB14" s="1" t="s">
        <v>4</v>
      </c>
      <c r="BC14" t="s">
        <v>93</v>
      </c>
      <c r="BF14" s="1" t="s">
        <v>88</v>
      </c>
      <c r="BG14" s="1" t="s">
        <v>4</v>
      </c>
      <c r="BH14" t="s">
        <v>93</v>
      </c>
    </row>
    <row r="15" spans="1:60" x14ac:dyDescent="0.25">
      <c r="A15" t="str">
        <f>_xlfn.CONCAT(C15,D15)</f>
        <v>Alighieri1315</v>
      </c>
      <c r="C15" t="s">
        <v>64</v>
      </c>
      <c r="D15">
        <v>1315</v>
      </c>
      <c r="E15">
        <f>INT(D15/100)+1</f>
        <v>14</v>
      </c>
      <c r="F15">
        <v>1371</v>
      </c>
      <c r="G15" t="s">
        <v>65</v>
      </c>
      <c r="H15" t="s">
        <v>66</v>
      </c>
      <c r="I15" t="s">
        <v>63</v>
      </c>
      <c r="AL15" t="s">
        <v>110</v>
      </c>
      <c r="AM15" t="str">
        <f t="shared" si="1"/>
        <v>Epic poetry</v>
      </c>
      <c r="AN15" t="str">
        <f t="shared" si="0"/>
        <v>Alighieri</v>
      </c>
      <c r="AO15">
        <f t="shared" si="0"/>
        <v>1305</v>
      </c>
      <c r="AP15">
        <f t="shared" si="0"/>
        <v>14</v>
      </c>
      <c r="AQ15">
        <f t="shared" si="0"/>
        <v>1361</v>
      </c>
      <c r="AR15" t="str">
        <f t="shared" si="0"/>
        <v>Italy</v>
      </c>
      <c r="AW15">
        <v>13</v>
      </c>
      <c r="AX15" t="s">
        <v>22</v>
      </c>
      <c r="AY15" s="4">
        <v>8</v>
      </c>
      <c r="BA15" t="s">
        <v>75</v>
      </c>
      <c r="BB15" t="s">
        <v>74</v>
      </c>
      <c r="BC15" s="4">
        <v>8</v>
      </c>
      <c r="BF15">
        <v>13</v>
      </c>
      <c r="BG15" t="s">
        <v>65</v>
      </c>
      <c r="BH15" s="4">
        <v>4</v>
      </c>
    </row>
    <row r="16" spans="1:60" x14ac:dyDescent="0.25">
      <c r="A16" t="str">
        <f>_xlfn.CONCAT(C16,D16)</f>
        <v>Alighieri1325</v>
      </c>
      <c r="C16" t="s">
        <v>64</v>
      </c>
      <c r="D16">
        <v>1325</v>
      </c>
      <c r="E16">
        <f>INT(D16/100)+1</f>
        <v>14</v>
      </c>
      <c r="F16">
        <v>1381</v>
      </c>
      <c r="G16" t="s">
        <v>65</v>
      </c>
      <c r="H16" t="s">
        <v>66</v>
      </c>
      <c r="I16" t="s">
        <v>63</v>
      </c>
      <c r="AL16" t="s">
        <v>111</v>
      </c>
      <c r="AM16" t="str">
        <f t="shared" si="1"/>
        <v>Epic poetry</v>
      </c>
      <c r="AN16" t="str">
        <f t="shared" si="0"/>
        <v>Alighieri</v>
      </c>
      <c r="AO16">
        <f t="shared" si="0"/>
        <v>1315</v>
      </c>
      <c r="AP16">
        <f t="shared" si="0"/>
        <v>14</v>
      </c>
      <c r="AQ16">
        <f t="shared" si="0"/>
        <v>1371</v>
      </c>
      <c r="AR16" t="str">
        <f t="shared" si="0"/>
        <v>Italy</v>
      </c>
      <c r="AW16">
        <v>13</v>
      </c>
      <c r="AX16" t="s">
        <v>65</v>
      </c>
      <c r="AY16" s="4">
        <v>4</v>
      </c>
      <c r="BA16" t="s">
        <v>34</v>
      </c>
      <c r="BB16" t="s">
        <v>33</v>
      </c>
      <c r="BC16" s="4">
        <v>8</v>
      </c>
      <c r="BF16">
        <v>13</v>
      </c>
      <c r="BG16" t="s">
        <v>22</v>
      </c>
      <c r="BH16" s="4">
        <v>8</v>
      </c>
    </row>
    <row r="17" spans="1:61" x14ac:dyDescent="0.25">
      <c r="A17" t="str">
        <f>_xlfn.CONCAT(C17,D17)</f>
        <v>Alighieri1335</v>
      </c>
      <c r="C17" t="s">
        <v>64</v>
      </c>
      <c r="D17">
        <v>1335</v>
      </c>
      <c r="E17">
        <f>INT(D17/100)+1</f>
        <v>14</v>
      </c>
      <c r="F17">
        <v>1391</v>
      </c>
      <c r="G17" t="s">
        <v>65</v>
      </c>
      <c r="H17" t="s">
        <v>66</v>
      </c>
      <c r="I17" t="s">
        <v>63</v>
      </c>
      <c r="AL17" t="s">
        <v>112</v>
      </c>
      <c r="AM17" t="str">
        <f t="shared" si="1"/>
        <v>Epic poetry</v>
      </c>
      <c r="AN17" t="str">
        <f t="shared" si="0"/>
        <v>Alighieri</v>
      </c>
      <c r="AO17">
        <f t="shared" si="0"/>
        <v>1325</v>
      </c>
      <c r="AP17">
        <f t="shared" si="0"/>
        <v>14</v>
      </c>
      <c r="AQ17">
        <f t="shared" si="0"/>
        <v>1381</v>
      </c>
      <c r="AR17" t="str">
        <f t="shared" si="0"/>
        <v>Italy</v>
      </c>
      <c r="AW17">
        <v>14</v>
      </c>
      <c r="AX17" t="s">
        <v>8</v>
      </c>
      <c r="AY17" s="4">
        <v>6</v>
      </c>
      <c r="BA17" t="s">
        <v>30</v>
      </c>
      <c r="BB17" t="s">
        <v>12</v>
      </c>
      <c r="BC17" s="4">
        <v>8</v>
      </c>
      <c r="BF17">
        <v>14</v>
      </c>
      <c r="BG17" t="s">
        <v>8</v>
      </c>
      <c r="BH17" s="4">
        <v>6</v>
      </c>
    </row>
    <row r="18" spans="1:61" x14ac:dyDescent="0.25">
      <c r="A18" t="str">
        <f>_xlfn.CONCAT(C18,D18)</f>
        <v>Chaucer1343</v>
      </c>
      <c r="C18" t="s">
        <v>68</v>
      </c>
      <c r="D18">
        <v>1343</v>
      </c>
      <c r="E18">
        <f>INT(D18/100)+1</f>
        <v>14</v>
      </c>
      <c r="F18">
        <v>1400</v>
      </c>
      <c r="G18" t="s">
        <v>8</v>
      </c>
      <c r="H18" t="s">
        <v>69</v>
      </c>
      <c r="I18" t="s">
        <v>67</v>
      </c>
      <c r="AL18" t="s">
        <v>113</v>
      </c>
      <c r="AM18" t="str">
        <f t="shared" si="1"/>
        <v>Epic poetry</v>
      </c>
      <c r="AN18" t="str">
        <f t="shared" si="0"/>
        <v>Alighieri</v>
      </c>
      <c r="AO18">
        <f t="shared" si="0"/>
        <v>1335</v>
      </c>
      <c r="AP18">
        <f t="shared" si="0"/>
        <v>14</v>
      </c>
      <c r="AQ18">
        <f t="shared" si="0"/>
        <v>1391</v>
      </c>
      <c r="AR18" t="str">
        <f t="shared" si="0"/>
        <v>Italy</v>
      </c>
      <c r="AW18">
        <v>14</v>
      </c>
      <c r="AX18" t="s">
        <v>65</v>
      </c>
      <c r="AY18" s="4">
        <v>4</v>
      </c>
      <c r="BA18" t="s">
        <v>13</v>
      </c>
      <c r="BB18" t="s">
        <v>12</v>
      </c>
      <c r="BC18" s="4">
        <v>16</v>
      </c>
      <c r="BF18">
        <v>14</v>
      </c>
      <c r="BG18" t="s">
        <v>65</v>
      </c>
      <c r="BH18" s="4">
        <v>4</v>
      </c>
    </row>
    <row r="19" spans="1:61" x14ac:dyDescent="0.25">
      <c r="A19" t="str">
        <f>_xlfn.CONCAT(C19,D19)</f>
        <v>Chaucer1353</v>
      </c>
      <c r="C19" t="s">
        <v>68</v>
      </c>
      <c r="D19">
        <v>1353</v>
      </c>
      <c r="E19">
        <f>INT(D19/100)+1</f>
        <v>14</v>
      </c>
      <c r="F19">
        <v>1410</v>
      </c>
      <c r="G19" t="s">
        <v>8</v>
      </c>
      <c r="H19" t="s">
        <v>69</v>
      </c>
      <c r="I19" t="s">
        <v>67</v>
      </c>
      <c r="AL19" t="s">
        <v>114</v>
      </c>
      <c r="AM19" t="str">
        <f t="shared" si="1"/>
        <v>Medieval poetry</v>
      </c>
      <c r="AN19" t="str">
        <f t="shared" si="1"/>
        <v>Chaucer</v>
      </c>
      <c r="AO19">
        <f t="shared" si="1"/>
        <v>1343</v>
      </c>
      <c r="AP19">
        <f t="shared" si="1"/>
        <v>14</v>
      </c>
      <c r="AQ19">
        <f t="shared" si="1"/>
        <v>1400</v>
      </c>
      <c r="AR19" t="str">
        <f t="shared" si="1"/>
        <v>England</v>
      </c>
      <c r="AW19">
        <v>15</v>
      </c>
      <c r="AX19" t="s">
        <v>8</v>
      </c>
      <c r="AY19" s="4">
        <v>2</v>
      </c>
      <c r="BA19" t="s">
        <v>54</v>
      </c>
      <c r="BB19" t="s">
        <v>12</v>
      </c>
      <c r="BC19" s="4">
        <v>10</v>
      </c>
      <c r="BF19">
        <v>15</v>
      </c>
      <c r="BG19" t="s">
        <v>8</v>
      </c>
      <c r="BH19" s="4">
        <v>2</v>
      </c>
    </row>
    <row r="20" spans="1:61" x14ac:dyDescent="0.25">
      <c r="A20" t="str">
        <f>_xlfn.CONCAT(C20,D20)</f>
        <v>Chaucer1363</v>
      </c>
      <c r="C20" t="s">
        <v>68</v>
      </c>
      <c r="D20">
        <v>1363</v>
      </c>
      <c r="E20">
        <f>INT(D20/100)+1</f>
        <v>14</v>
      </c>
      <c r="F20">
        <v>1420</v>
      </c>
      <c r="G20" t="s">
        <v>8</v>
      </c>
      <c r="H20" t="s">
        <v>69</v>
      </c>
      <c r="I20" t="s">
        <v>67</v>
      </c>
      <c r="AL20" t="s">
        <v>115</v>
      </c>
      <c r="AM20" t="str">
        <f t="shared" si="1"/>
        <v>Medieval poetry</v>
      </c>
      <c r="AN20" t="str">
        <f t="shared" si="1"/>
        <v>Chaucer</v>
      </c>
      <c r="AO20">
        <f t="shared" si="1"/>
        <v>1353</v>
      </c>
      <c r="AP20">
        <f t="shared" si="1"/>
        <v>14</v>
      </c>
      <c r="AQ20">
        <f t="shared" si="1"/>
        <v>1410</v>
      </c>
      <c r="AR20" t="str">
        <f t="shared" si="1"/>
        <v>England</v>
      </c>
      <c r="AW20">
        <v>17</v>
      </c>
      <c r="AX20" t="s">
        <v>40</v>
      </c>
      <c r="AY20" s="4">
        <v>6</v>
      </c>
      <c r="BA20" t="s">
        <v>66</v>
      </c>
      <c r="BB20" t="s">
        <v>65</v>
      </c>
      <c r="BC20" s="4">
        <v>8</v>
      </c>
      <c r="BF20">
        <v>17</v>
      </c>
      <c r="BG20" t="s">
        <v>40</v>
      </c>
      <c r="BH20" s="4">
        <v>6</v>
      </c>
    </row>
    <row r="21" spans="1:61" x14ac:dyDescent="0.25">
      <c r="A21" t="str">
        <f>_xlfn.CONCAT(C21,D21)</f>
        <v>Chaucer1373</v>
      </c>
      <c r="C21" t="s">
        <v>68</v>
      </c>
      <c r="D21">
        <v>1373</v>
      </c>
      <c r="E21">
        <f>INT(D21/100)+1</f>
        <v>14</v>
      </c>
      <c r="F21">
        <v>1430</v>
      </c>
      <c r="G21" t="s">
        <v>8</v>
      </c>
      <c r="H21" t="s">
        <v>69</v>
      </c>
      <c r="I21" t="s">
        <v>67</v>
      </c>
      <c r="AL21" t="s">
        <v>116</v>
      </c>
      <c r="AM21" t="str">
        <f t="shared" si="1"/>
        <v>Medieval poetry</v>
      </c>
      <c r="AN21" t="str">
        <f t="shared" si="1"/>
        <v>Chaucer</v>
      </c>
      <c r="AO21">
        <f t="shared" si="1"/>
        <v>1363</v>
      </c>
      <c r="AP21">
        <f t="shared" si="1"/>
        <v>14</v>
      </c>
      <c r="AQ21">
        <f t="shared" si="1"/>
        <v>1420</v>
      </c>
      <c r="AR21" t="str">
        <f t="shared" si="1"/>
        <v>England</v>
      </c>
      <c r="AW21">
        <v>18</v>
      </c>
      <c r="AX21" t="s">
        <v>8</v>
      </c>
      <c r="AY21" s="4">
        <v>6</v>
      </c>
      <c r="BA21" t="s">
        <v>60</v>
      </c>
      <c r="BB21" t="s">
        <v>12</v>
      </c>
      <c r="BC21" s="4">
        <v>8</v>
      </c>
      <c r="BF21">
        <v>18</v>
      </c>
      <c r="BG21" t="s">
        <v>8</v>
      </c>
      <c r="BH21" s="4">
        <v>6</v>
      </c>
    </row>
    <row r="22" spans="1:61" x14ac:dyDescent="0.25">
      <c r="A22" t="str">
        <f>_xlfn.CONCAT(C22,D22)</f>
        <v>Chaucer1383</v>
      </c>
      <c r="C22" t="s">
        <v>68</v>
      </c>
      <c r="D22">
        <v>1383</v>
      </c>
      <c r="E22">
        <f>INT(D22/100)+1</f>
        <v>14</v>
      </c>
      <c r="F22">
        <v>1440</v>
      </c>
      <c r="G22" t="s">
        <v>8</v>
      </c>
      <c r="H22" t="s">
        <v>69</v>
      </c>
      <c r="I22" t="s">
        <v>67</v>
      </c>
      <c r="AL22" t="s">
        <v>117</v>
      </c>
      <c r="AM22" t="str">
        <f t="shared" si="1"/>
        <v>Medieval poetry</v>
      </c>
      <c r="AN22" t="str">
        <f t="shared" si="1"/>
        <v>Chaucer</v>
      </c>
      <c r="AO22">
        <f t="shared" si="1"/>
        <v>1373</v>
      </c>
      <c r="AP22">
        <f t="shared" si="1"/>
        <v>14</v>
      </c>
      <c r="AQ22">
        <f t="shared" si="1"/>
        <v>1430</v>
      </c>
      <c r="AR22" t="str">
        <f t="shared" si="1"/>
        <v>England</v>
      </c>
      <c r="AW22">
        <v>18</v>
      </c>
      <c r="AX22" t="s">
        <v>83</v>
      </c>
      <c r="AY22" s="4">
        <v>6</v>
      </c>
      <c r="BA22" t="s">
        <v>41</v>
      </c>
      <c r="BB22" t="s">
        <v>40</v>
      </c>
      <c r="BC22" s="4">
        <v>8</v>
      </c>
      <c r="BF22">
        <v>18</v>
      </c>
      <c r="BG22" t="s">
        <v>83</v>
      </c>
      <c r="BH22" s="4">
        <v>6</v>
      </c>
    </row>
    <row r="23" spans="1:61" x14ac:dyDescent="0.25">
      <c r="A23" t="str">
        <f>_xlfn.CONCAT(C23,D23)</f>
        <v>Chaucer1393</v>
      </c>
      <c r="C23" t="s">
        <v>68</v>
      </c>
      <c r="D23">
        <v>1393</v>
      </c>
      <c r="E23">
        <f>INT(D23/100)+1</f>
        <v>14</v>
      </c>
      <c r="F23">
        <v>1450</v>
      </c>
      <c r="G23" t="s">
        <v>8</v>
      </c>
      <c r="H23" t="s">
        <v>69</v>
      </c>
      <c r="I23" t="s">
        <v>67</v>
      </c>
      <c r="AL23" t="s">
        <v>118</v>
      </c>
      <c r="AM23" t="str">
        <f t="shared" si="1"/>
        <v>Medieval poetry</v>
      </c>
      <c r="AN23" t="str">
        <f t="shared" si="1"/>
        <v>Chaucer</v>
      </c>
      <c r="AO23">
        <f t="shared" si="1"/>
        <v>1383</v>
      </c>
      <c r="AP23">
        <f t="shared" si="1"/>
        <v>14</v>
      </c>
      <c r="AQ23">
        <f t="shared" si="1"/>
        <v>1440</v>
      </c>
      <c r="AR23" t="str">
        <f t="shared" si="1"/>
        <v>England</v>
      </c>
      <c r="AW23">
        <v>18</v>
      </c>
      <c r="AX23" t="s">
        <v>40</v>
      </c>
      <c r="AY23" s="4">
        <v>2</v>
      </c>
      <c r="BA23" t="s">
        <v>16</v>
      </c>
      <c r="BB23" t="s">
        <v>12</v>
      </c>
      <c r="BC23" s="4">
        <v>8</v>
      </c>
      <c r="BF23">
        <v>18</v>
      </c>
      <c r="BG23" t="s">
        <v>40</v>
      </c>
      <c r="BH23" s="4">
        <v>2</v>
      </c>
    </row>
    <row r="24" spans="1:61" x14ac:dyDescent="0.25">
      <c r="A24" t="str">
        <f>_xlfn.CONCAT(C24,D24)</f>
        <v>Chaucer1403</v>
      </c>
      <c r="C24" t="s">
        <v>68</v>
      </c>
      <c r="D24">
        <v>1403</v>
      </c>
      <c r="E24">
        <f>INT(D24/100)+1</f>
        <v>15</v>
      </c>
      <c r="F24">
        <v>1460</v>
      </c>
      <c r="G24" t="s">
        <v>8</v>
      </c>
      <c r="H24" t="s">
        <v>69</v>
      </c>
      <c r="I24" t="s">
        <v>67</v>
      </c>
      <c r="AL24" t="s">
        <v>119</v>
      </c>
      <c r="AM24" t="str">
        <f t="shared" si="1"/>
        <v>Medieval poetry</v>
      </c>
      <c r="AN24" t="str">
        <f t="shared" si="1"/>
        <v>Chaucer</v>
      </c>
      <c r="AO24">
        <f t="shared" si="1"/>
        <v>1393</v>
      </c>
      <c r="AP24">
        <f t="shared" si="1"/>
        <v>14</v>
      </c>
      <c r="AQ24">
        <f t="shared" si="1"/>
        <v>1450</v>
      </c>
      <c r="AR24" t="str">
        <f t="shared" si="1"/>
        <v>England</v>
      </c>
      <c r="AW24">
        <v>19</v>
      </c>
      <c r="AX24" t="s">
        <v>8</v>
      </c>
      <c r="AY24" s="4">
        <v>28</v>
      </c>
      <c r="BA24" t="s">
        <v>19</v>
      </c>
      <c r="BB24" t="s">
        <v>12</v>
      </c>
      <c r="BC24" s="4">
        <v>8</v>
      </c>
      <c r="BF24">
        <v>19</v>
      </c>
      <c r="BG24" t="s">
        <v>8</v>
      </c>
      <c r="BH24" s="4">
        <v>28</v>
      </c>
    </row>
    <row r="25" spans="1:61" x14ac:dyDescent="0.25">
      <c r="A25" t="str">
        <f>_xlfn.CONCAT(C25,D25)</f>
        <v>Chaucer1413</v>
      </c>
      <c r="C25" t="s">
        <v>68</v>
      </c>
      <c r="D25">
        <v>1413</v>
      </c>
      <c r="E25">
        <f>INT(D25/100)+1</f>
        <v>15</v>
      </c>
      <c r="F25">
        <v>1470</v>
      </c>
      <c r="G25" t="s">
        <v>8</v>
      </c>
      <c r="H25" t="s">
        <v>69</v>
      </c>
      <c r="I25" t="s">
        <v>67</v>
      </c>
      <c r="AL25" t="s">
        <v>120</v>
      </c>
      <c r="AM25" t="str">
        <f t="shared" si="1"/>
        <v>Medieval poetry</v>
      </c>
      <c r="AN25" t="str">
        <f t="shared" si="1"/>
        <v>Chaucer</v>
      </c>
      <c r="AO25">
        <f t="shared" si="1"/>
        <v>1403</v>
      </c>
      <c r="AP25">
        <f t="shared" si="1"/>
        <v>15</v>
      </c>
      <c r="AQ25">
        <f t="shared" si="1"/>
        <v>1460</v>
      </c>
      <c r="AR25" t="str">
        <f t="shared" si="1"/>
        <v>England</v>
      </c>
      <c r="AW25">
        <v>19</v>
      </c>
      <c r="AX25" t="s">
        <v>12</v>
      </c>
      <c r="AY25" s="4">
        <v>26</v>
      </c>
      <c r="BA25" t="s">
        <v>69</v>
      </c>
      <c r="BB25" t="s">
        <v>8</v>
      </c>
      <c r="BC25" s="4">
        <v>8</v>
      </c>
      <c r="BF25">
        <v>19</v>
      </c>
      <c r="BG25" t="s">
        <v>50</v>
      </c>
      <c r="BH25" s="4">
        <v>13</v>
      </c>
      <c r="BI25" s="4"/>
    </row>
    <row r="26" spans="1:61" x14ac:dyDescent="0.25">
      <c r="A26" t="str">
        <f>_xlfn.CONCAT(C26,D26)</f>
        <v>Basho1644</v>
      </c>
      <c r="C26" t="s">
        <v>39</v>
      </c>
      <c r="D26">
        <v>1644</v>
      </c>
      <c r="E26">
        <f>INT(D26/100)+1</f>
        <v>17</v>
      </c>
      <c r="F26">
        <v>1694</v>
      </c>
      <c r="G26" t="s">
        <v>40</v>
      </c>
      <c r="H26" t="s">
        <v>41</v>
      </c>
      <c r="I26" t="s">
        <v>38</v>
      </c>
      <c r="AL26" t="s">
        <v>121</v>
      </c>
      <c r="AM26" t="str">
        <f t="shared" si="1"/>
        <v>Medieval poetry</v>
      </c>
      <c r="AN26" t="str">
        <f t="shared" si="1"/>
        <v>Chaucer</v>
      </c>
      <c r="AO26">
        <f t="shared" si="1"/>
        <v>1413</v>
      </c>
      <c r="AP26">
        <f t="shared" si="1"/>
        <v>15</v>
      </c>
      <c r="AQ26">
        <f t="shared" si="1"/>
        <v>1470</v>
      </c>
      <c r="AR26" t="str">
        <f t="shared" si="1"/>
        <v>England</v>
      </c>
      <c r="AW26">
        <v>19</v>
      </c>
      <c r="AX26" t="s">
        <v>50</v>
      </c>
      <c r="AY26" s="4">
        <v>13</v>
      </c>
      <c r="BA26" t="s">
        <v>78</v>
      </c>
      <c r="BB26" t="s">
        <v>8</v>
      </c>
      <c r="BC26" s="4">
        <v>8</v>
      </c>
      <c r="BF26">
        <v>19</v>
      </c>
      <c r="BG26" t="s">
        <v>83</v>
      </c>
      <c r="BH26" s="4">
        <v>2</v>
      </c>
      <c r="BI26" s="4"/>
    </row>
    <row r="27" spans="1:61" x14ac:dyDescent="0.25">
      <c r="A27" t="str">
        <f>_xlfn.CONCAT(C27,D27)</f>
        <v>Basho1654</v>
      </c>
      <c r="C27" t="s">
        <v>39</v>
      </c>
      <c r="D27">
        <v>1654</v>
      </c>
      <c r="E27">
        <f>INT(D27/100)+1</f>
        <v>17</v>
      </c>
      <c r="F27">
        <v>1704</v>
      </c>
      <c r="G27" t="s">
        <v>40</v>
      </c>
      <c r="H27" t="s">
        <v>41</v>
      </c>
      <c r="I27" t="s">
        <v>38</v>
      </c>
      <c r="AL27" t="s">
        <v>122</v>
      </c>
      <c r="AM27" t="str">
        <f t="shared" si="1"/>
        <v>Haiku</v>
      </c>
      <c r="AN27" t="str">
        <f t="shared" si="1"/>
        <v>Basho</v>
      </c>
      <c r="AO27">
        <f t="shared" si="1"/>
        <v>1644</v>
      </c>
      <c r="AP27">
        <f t="shared" si="1"/>
        <v>17</v>
      </c>
      <c r="AQ27">
        <f t="shared" si="1"/>
        <v>1694</v>
      </c>
      <c r="AR27" t="str">
        <f t="shared" si="1"/>
        <v>Japan</v>
      </c>
      <c r="AW27">
        <v>19</v>
      </c>
      <c r="AX27" t="s">
        <v>74</v>
      </c>
      <c r="AY27" s="4">
        <v>5</v>
      </c>
      <c r="BA27" t="s">
        <v>57</v>
      </c>
      <c r="BB27" t="s">
        <v>12</v>
      </c>
      <c r="BC27" s="4">
        <v>8</v>
      </c>
      <c r="BF27">
        <v>19</v>
      </c>
      <c r="BG27" t="s">
        <v>33</v>
      </c>
      <c r="BH27" s="4">
        <v>4</v>
      </c>
      <c r="BI27" s="4"/>
    </row>
    <row r="28" spans="1:61" x14ac:dyDescent="0.25">
      <c r="A28" t="str">
        <f>_xlfn.CONCAT(C28,D28)</f>
        <v>Basho1664</v>
      </c>
      <c r="C28" t="s">
        <v>39</v>
      </c>
      <c r="D28">
        <v>1664</v>
      </c>
      <c r="E28">
        <f>INT(D28/100)+1</f>
        <v>17</v>
      </c>
      <c r="F28">
        <v>1714</v>
      </c>
      <c r="G28" t="s">
        <v>40</v>
      </c>
      <c r="H28" t="s">
        <v>41</v>
      </c>
      <c r="I28" t="s">
        <v>38</v>
      </c>
      <c r="AL28" t="s">
        <v>123</v>
      </c>
      <c r="AM28" t="str">
        <f t="shared" si="1"/>
        <v>Haiku</v>
      </c>
      <c r="AN28" t="str">
        <f t="shared" si="1"/>
        <v>Basho</v>
      </c>
      <c r="AO28">
        <f t="shared" si="1"/>
        <v>1654</v>
      </c>
      <c r="AP28">
        <f t="shared" si="1"/>
        <v>17</v>
      </c>
      <c r="AQ28">
        <f t="shared" si="1"/>
        <v>1704</v>
      </c>
      <c r="AR28" t="str">
        <f t="shared" si="1"/>
        <v>Japan</v>
      </c>
      <c r="AW28">
        <v>19</v>
      </c>
      <c r="AX28" t="s">
        <v>33</v>
      </c>
      <c r="AY28" s="4">
        <v>4</v>
      </c>
      <c r="BA28" t="s">
        <v>44</v>
      </c>
      <c r="BB28" t="s">
        <v>8</v>
      </c>
      <c r="BC28" s="4">
        <v>16</v>
      </c>
      <c r="BF28">
        <v>19</v>
      </c>
      <c r="BG28" t="s">
        <v>74</v>
      </c>
      <c r="BH28" s="4">
        <v>5</v>
      </c>
      <c r="BI28" s="4"/>
    </row>
    <row r="29" spans="1:61" x14ac:dyDescent="0.25">
      <c r="A29" t="str">
        <f>_xlfn.CONCAT(C29,D29)</f>
        <v>Basho1674</v>
      </c>
      <c r="C29" t="s">
        <v>39</v>
      </c>
      <c r="D29">
        <v>1674</v>
      </c>
      <c r="E29">
        <f>INT(D29/100)+1</f>
        <v>17</v>
      </c>
      <c r="F29">
        <v>1724</v>
      </c>
      <c r="G29" t="s">
        <v>40</v>
      </c>
      <c r="H29" t="s">
        <v>41</v>
      </c>
      <c r="I29" t="s">
        <v>38</v>
      </c>
      <c r="AL29" t="s">
        <v>124</v>
      </c>
      <c r="AM29" t="str">
        <f t="shared" ref="AM29:AR92" si="2">VLOOKUP($AL29,$A$2:$I$209,AM$2,FALSE)</f>
        <v>Haiku</v>
      </c>
      <c r="AN29" t="str">
        <f t="shared" si="2"/>
        <v>Basho</v>
      </c>
      <c r="AO29">
        <f t="shared" si="2"/>
        <v>1664</v>
      </c>
      <c r="AP29">
        <f t="shared" si="2"/>
        <v>17</v>
      </c>
      <c r="AQ29">
        <f t="shared" si="2"/>
        <v>1714</v>
      </c>
      <c r="AR29" t="str">
        <f t="shared" si="2"/>
        <v>Japan</v>
      </c>
      <c r="AW29">
        <v>19</v>
      </c>
      <c r="AX29" t="s">
        <v>83</v>
      </c>
      <c r="AY29" s="4">
        <v>2</v>
      </c>
      <c r="BA29" t="s">
        <v>9</v>
      </c>
      <c r="BB29" t="s">
        <v>8</v>
      </c>
      <c r="BC29" s="4">
        <v>9</v>
      </c>
      <c r="BF29">
        <v>19</v>
      </c>
      <c r="BG29" t="s">
        <v>87</v>
      </c>
      <c r="BH29" s="4">
        <v>1</v>
      </c>
      <c r="BI29" s="4"/>
    </row>
    <row r="30" spans="1:61" x14ac:dyDescent="0.25">
      <c r="A30" t="str">
        <f>_xlfn.CONCAT(C30,D30)</f>
        <v>Basho1684</v>
      </c>
      <c r="C30" t="s">
        <v>39</v>
      </c>
      <c r="D30">
        <v>1684</v>
      </c>
      <c r="E30">
        <f>INT(D30/100)+1</f>
        <v>17</v>
      </c>
      <c r="F30">
        <v>1734</v>
      </c>
      <c r="G30" t="s">
        <v>40</v>
      </c>
      <c r="H30" t="s">
        <v>41</v>
      </c>
      <c r="I30" t="s">
        <v>38</v>
      </c>
      <c r="AL30" t="s">
        <v>125</v>
      </c>
      <c r="AM30" t="str">
        <f t="shared" si="2"/>
        <v>Haiku</v>
      </c>
      <c r="AN30" t="str">
        <f t="shared" si="2"/>
        <v>Basho</v>
      </c>
      <c r="AO30">
        <f t="shared" si="2"/>
        <v>1674</v>
      </c>
      <c r="AP30">
        <f t="shared" si="2"/>
        <v>17</v>
      </c>
      <c r="AQ30">
        <f t="shared" si="2"/>
        <v>1724</v>
      </c>
      <c r="AR30" t="str">
        <f t="shared" si="2"/>
        <v>Japan</v>
      </c>
      <c r="AW30">
        <v>19</v>
      </c>
      <c r="AX30" t="s">
        <v>87</v>
      </c>
      <c r="AY30" s="4">
        <v>1</v>
      </c>
      <c r="BA30" t="s">
        <v>84</v>
      </c>
      <c r="BB30" t="s">
        <v>83</v>
      </c>
      <c r="BC30" s="4">
        <v>11</v>
      </c>
      <c r="BF30">
        <v>19</v>
      </c>
      <c r="BG30" t="s">
        <v>12</v>
      </c>
      <c r="BH30" s="4">
        <v>26</v>
      </c>
      <c r="BI30" s="4"/>
    </row>
    <row r="31" spans="1:61" x14ac:dyDescent="0.25">
      <c r="A31" t="str">
        <f>_xlfn.CONCAT(C31,D31)</f>
        <v>Basho1694</v>
      </c>
      <c r="C31" t="s">
        <v>39</v>
      </c>
      <c r="D31">
        <v>1694</v>
      </c>
      <c r="E31">
        <f>INT(D31/100)+1</f>
        <v>17</v>
      </c>
      <c r="F31">
        <v>1744</v>
      </c>
      <c r="G31" t="s">
        <v>40</v>
      </c>
      <c r="H31" t="s">
        <v>41</v>
      </c>
      <c r="I31" t="s">
        <v>38</v>
      </c>
      <c r="AL31" t="s">
        <v>126</v>
      </c>
      <c r="AM31" t="str">
        <f t="shared" si="2"/>
        <v>Haiku</v>
      </c>
      <c r="AN31" t="str">
        <f t="shared" si="2"/>
        <v>Basho</v>
      </c>
      <c r="AO31">
        <f t="shared" si="2"/>
        <v>1684</v>
      </c>
      <c r="AP31">
        <f t="shared" si="2"/>
        <v>17</v>
      </c>
      <c r="AQ31">
        <f t="shared" si="2"/>
        <v>1734</v>
      </c>
      <c r="AR31" t="str">
        <f t="shared" si="2"/>
        <v>Japan</v>
      </c>
      <c r="AW31">
        <v>20</v>
      </c>
      <c r="AX31" t="s">
        <v>12</v>
      </c>
      <c r="AY31" s="4">
        <v>43</v>
      </c>
      <c r="BA31" t="s">
        <v>23</v>
      </c>
      <c r="BB31" t="s">
        <v>22</v>
      </c>
      <c r="BC31" s="4">
        <v>8</v>
      </c>
      <c r="BF31">
        <v>20</v>
      </c>
      <c r="BG31" t="s">
        <v>8</v>
      </c>
      <c r="BH31" s="4">
        <v>6</v>
      </c>
      <c r="BI31" s="4"/>
    </row>
    <row r="32" spans="1:61" x14ac:dyDescent="0.25">
      <c r="A32" t="str">
        <f>_xlfn.CONCAT(C32,D32)</f>
        <v>Basho1704</v>
      </c>
      <c r="C32" t="s">
        <v>39</v>
      </c>
      <c r="D32">
        <v>1704</v>
      </c>
      <c r="E32">
        <f>INT(D32/100)+1</f>
        <v>18</v>
      </c>
      <c r="F32">
        <v>1754</v>
      </c>
      <c r="G32" t="s">
        <v>40</v>
      </c>
      <c r="H32" t="s">
        <v>41</v>
      </c>
      <c r="I32" t="s">
        <v>38</v>
      </c>
      <c r="AL32" t="s">
        <v>127</v>
      </c>
      <c r="AM32" t="str">
        <f t="shared" si="2"/>
        <v>Haiku</v>
      </c>
      <c r="AN32" t="str">
        <f t="shared" si="2"/>
        <v>Basho</v>
      </c>
      <c r="AO32">
        <f t="shared" si="2"/>
        <v>1694</v>
      </c>
      <c r="AP32">
        <f t="shared" si="2"/>
        <v>17</v>
      </c>
      <c r="AQ32">
        <f t="shared" si="2"/>
        <v>1744</v>
      </c>
      <c r="AR32" t="str">
        <f t="shared" si="2"/>
        <v>Japan</v>
      </c>
      <c r="AW32">
        <v>20</v>
      </c>
      <c r="AX32" t="s">
        <v>26</v>
      </c>
      <c r="AY32" s="4">
        <v>8</v>
      </c>
      <c r="BA32" t="s">
        <v>27</v>
      </c>
      <c r="BB32" t="s">
        <v>87</v>
      </c>
      <c r="BC32" s="4">
        <v>8</v>
      </c>
      <c r="BF32">
        <v>20</v>
      </c>
      <c r="BG32" t="s">
        <v>50</v>
      </c>
      <c r="BH32" s="4">
        <v>3</v>
      </c>
      <c r="BI32" s="4"/>
    </row>
    <row r="33" spans="1:61" x14ac:dyDescent="0.25">
      <c r="A33" t="str">
        <f>_xlfn.CONCAT(C33,D33)</f>
        <v>Basho1714</v>
      </c>
      <c r="C33" t="s">
        <v>39</v>
      </c>
      <c r="D33">
        <v>1714</v>
      </c>
      <c r="E33">
        <f>INT(D33/100)+1</f>
        <v>18</v>
      </c>
      <c r="F33">
        <v>1764</v>
      </c>
      <c r="G33" t="s">
        <v>40</v>
      </c>
      <c r="H33" t="s">
        <v>41</v>
      </c>
      <c r="I33" t="s">
        <v>38</v>
      </c>
      <c r="AL33" t="s">
        <v>128</v>
      </c>
      <c r="AM33" t="str">
        <f t="shared" si="2"/>
        <v>Haiku</v>
      </c>
      <c r="AN33" t="str">
        <f t="shared" si="2"/>
        <v>Basho</v>
      </c>
      <c r="AO33">
        <f t="shared" si="2"/>
        <v>1704</v>
      </c>
      <c r="AP33">
        <f t="shared" si="2"/>
        <v>18</v>
      </c>
      <c r="AQ33">
        <f t="shared" si="2"/>
        <v>1754</v>
      </c>
      <c r="AR33" t="str">
        <f t="shared" si="2"/>
        <v>Japan</v>
      </c>
      <c r="AW33">
        <v>20</v>
      </c>
      <c r="AX33" t="s">
        <v>87</v>
      </c>
      <c r="AY33" s="4">
        <v>7</v>
      </c>
      <c r="BA33" t="s">
        <v>27</v>
      </c>
      <c r="BB33" t="s">
        <v>26</v>
      </c>
      <c r="BC33" s="4">
        <v>8</v>
      </c>
      <c r="BF33">
        <v>20</v>
      </c>
      <c r="BG33" t="s">
        <v>26</v>
      </c>
      <c r="BH33" s="4">
        <v>8</v>
      </c>
      <c r="BI33" s="4"/>
    </row>
    <row r="34" spans="1:61" x14ac:dyDescent="0.25">
      <c r="A34" t="str">
        <f>_xlfn.CONCAT(C34,D34)</f>
        <v>Byron1788</v>
      </c>
      <c r="C34" t="s">
        <v>71</v>
      </c>
      <c r="D34">
        <v>1788</v>
      </c>
      <c r="E34">
        <f>INT(D34/100)+1</f>
        <v>18</v>
      </c>
      <c r="F34">
        <v>1824</v>
      </c>
      <c r="G34" t="s">
        <v>8</v>
      </c>
      <c r="H34" t="s">
        <v>44</v>
      </c>
      <c r="I34" t="s">
        <v>70</v>
      </c>
      <c r="AL34" t="s">
        <v>129</v>
      </c>
      <c r="AM34" t="str">
        <f t="shared" si="2"/>
        <v>Haiku</v>
      </c>
      <c r="AN34" t="str">
        <f t="shared" si="2"/>
        <v>Basho</v>
      </c>
      <c r="AO34">
        <f t="shared" si="2"/>
        <v>1714</v>
      </c>
      <c r="AP34">
        <f t="shared" si="2"/>
        <v>18</v>
      </c>
      <c r="AQ34">
        <f t="shared" si="2"/>
        <v>1764</v>
      </c>
      <c r="AR34" t="str">
        <f t="shared" si="2"/>
        <v>Japan</v>
      </c>
      <c r="AW34">
        <v>20</v>
      </c>
      <c r="AX34" t="s">
        <v>8</v>
      </c>
      <c r="AY34" s="4">
        <v>6</v>
      </c>
      <c r="BA34" t="s">
        <v>27</v>
      </c>
      <c r="BB34" t="s">
        <v>83</v>
      </c>
      <c r="BC34" s="4">
        <v>2</v>
      </c>
      <c r="BF34">
        <v>20</v>
      </c>
      <c r="BG34" t="s">
        <v>33</v>
      </c>
      <c r="BH34" s="4">
        <v>4</v>
      </c>
      <c r="BI34" s="4"/>
    </row>
    <row r="35" spans="1:61" x14ac:dyDescent="0.25">
      <c r="A35" t="str">
        <f>_xlfn.CONCAT(C35,D35)</f>
        <v>Keats1795</v>
      </c>
      <c r="C35" t="s">
        <v>43</v>
      </c>
      <c r="D35">
        <v>1795</v>
      </c>
      <c r="E35">
        <f>INT(D35/100)+1</f>
        <v>18</v>
      </c>
      <c r="F35">
        <v>1821</v>
      </c>
      <c r="G35" t="s">
        <v>8</v>
      </c>
      <c r="H35" t="s">
        <v>44</v>
      </c>
      <c r="I35" t="s">
        <v>42</v>
      </c>
      <c r="AL35" t="s">
        <v>130</v>
      </c>
      <c r="AM35" t="str">
        <f t="shared" si="2"/>
        <v>Romantic poetry</v>
      </c>
      <c r="AN35" t="str">
        <f t="shared" si="2"/>
        <v>Byron</v>
      </c>
      <c r="AO35">
        <f t="shared" si="2"/>
        <v>1788</v>
      </c>
      <c r="AP35">
        <f t="shared" si="2"/>
        <v>18</v>
      </c>
      <c r="AQ35">
        <f t="shared" si="2"/>
        <v>1824</v>
      </c>
      <c r="AR35" t="str">
        <f t="shared" si="2"/>
        <v>England</v>
      </c>
      <c r="AW35">
        <v>20</v>
      </c>
      <c r="AX35" t="s">
        <v>33</v>
      </c>
      <c r="AY35" s="4">
        <v>4</v>
      </c>
      <c r="BA35" t="s">
        <v>51</v>
      </c>
      <c r="BB35" t="s">
        <v>50</v>
      </c>
      <c r="BC35" s="4">
        <v>16</v>
      </c>
      <c r="BF35">
        <v>20</v>
      </c>
      <c r="BG35" t="s">
        <v>74</v>
      </c>
      <c r="BH35" s="4">
        <v>3</v>
      </c>
      <c r="BI35" s="4"/>
    </row>
    <row r="36" spans="1:61" x14ac:dyDescent="0.25">
      <c r="A36" t="str">
        <f>_xlfn.CONCAT(C36,D36)</f>
        <v>Byron1798</v>
      </c>
      <c r="C36" t="s">
        <v>71</v>
      </c>
      <c r="D36">
        <v>1798</v>
      </c>
      <c r="E36">
        <f>INT(D36/100)+1</f>
        <v>18</v>
      </c>
      <c r="F36">
        <v>1834</v>
      </c>
      <c r="G36" t="s">
        <v>8</v>
      </c>
      <c r="H36" t="s">
        <v>44</v>
      </c>
      <c r="I36" t="s">
        <v>70</v>
      </c>
      <c r="AL36" t="s">
        <v>131</v>
      </c>
      <c r="AM36" t="str">
        <f t="shared" si="2"/>
        <v>Romantic poetry</v>
      </c>
      <c r="AN36" t="str">
        <f t="shared" si="2"/>
        <v>Keats</v>
      </c>
      <c r="AO36">
        <f t="shared" si="2"/>
        <v>1795</v>
      </c>
      <c r="AP36">
        <f t="shared" si="2"/>
        <v>18</v>
      </c>
      <c r="AQ36">
        <f t="shared" si="2"/>
        <v>1821</v>
      </c>
      <c r="AR36" t="str">
        <f t="shared" si="2"/>
        <v>England</v>
      </c>
      <c r="AW36">
        <v>20</v>
      </c>
      <c r="AX36" t="s">
        <v>74</v>
      </c>
      <c r="AY36" s="4">
        <v>3</v>
      </c>
      <c r="BA36" t="s">
        <v>37</v>
      </c>
      <c r="BB36" t="s">
        <v>12</v>
      </c>
      <c r="BC36" s="4">
        <v>8</v>
      </c>
      <c r="BF36">
        <v>20</v>
      </c>
      <c r="BG36" t="s">
        <v>87</v>
      </c>
      <c r="BH36" s="4">
        <v>7</v>
      </c>
      <c r="BI36" s="4"/>
    </row>
    <row r="37" spans="1:61" x14ac:dyDescent="0.25">
      <c r="A37" t="str">
        <f>_xlfn.CONCAT(C37,D37)</f>
        <v>Wordsworth1770</v>
      </c>
      <c r="C37" t="s">
        <v>7</v>
      </c>
      <c r="D37">
        <v>1770</v>
      </c>
      <c r="E37">
        <f>INT(D37/100)+1</f>
        <v>18</v>
      </c>
      <c r="F37">
        <v>1850</v>
      </c>
      <c r="G37" t="s">
        <v>8</v>
      </c>
      <c r="H37" t="s">
        <v>9</v>
      </c>
      <c r="I37" t="s">
        <v>6</v>
      </c>
      <c r="AL37" t="s">
        <v>132</v>
      </c>
      <c r="AM37" t="str">
        <f t="shared" si="2"/>
        <v>Romantic poetry</v>
      </c>
      <c r="AN37" t="str">
        <f t="shared" si="2"/>
        <v>Byron</v>
      </c>
      <c r="AO37">
        <f t="shared" si="2"/>
        <v>1798</v>
      </c>
      <c r="AP37">
        <f t="shared" si="2"/>
        <v>18</v>
      </c>
      <c r="AQ37">
        <f t="shared" si="2"/>
        <v>1834</v>
      </c>
      <c r="AR37" t="str">
        <f t="shared" si="2"/>
        <v>England</v>
      </c>
      <c r="AW37">
        <v>20</v>
      </c>
      <c r="AX37" t="s">
        <v>50</v>
      </c>
      <c r="AY37" s="4">
        <v>3</v>
      </c>
      <c r="BA37" t="s">
        <v>47</v>
      </c>
      <c r="BB37" t="s">
        <v>8</v>
      </c>
      <c r="BC37" s="4">
        <v>8</v>
      </c>
      <c r="BF37">
        <v>20</v>
      </c>
      <c r="BG37" t="s">
        <v>12</v>
      </c>
      <c r="BH37" s="4">
        <v>43</v>
      </c>
      <c r="BI37" s="4"/>
    </row>
    <row r="38" spans="1:61" x14ac:dyDescent="0.25">
      <c r="A38" t="str">
        <f>_xlfn.CONCAT(C38,D38)</f>
        <v>Wordsworth1780</v>
      </c>
      <c r="C38" t="s">
        <v>7</v>
      </c>
      <c r="D38">
        <v>1780</v>
      </c>
      <c r="E38">
        <f>INT(D38/100)+1</f>
        <v>18</v>
      </c>
      <c r="F38">
        <v>1860</v>
      </c>
      <c r="G38" t="s">
        <v>8</v>
      </c>
      <c r="H38" t="s">
        <v>9</v>
      </c>
      <c r="I38" t="s">
        <v>6</v>
      </c>
      <c r="AL38" t="s">
        <v>133</v>
      </c>
      <c r="AM38" t="str">
        <f t="shared" si="2"/>
        <v>Romanticism</v>
      </c>
      <c r="AN38" t="str">
        <f t="shared" si="2"/>
        <v>Wordsworth</v>
      </c>
      <c r="AO38">
        <f t="shared" si="2"/>
        <v>1770</v>
      </c>
      <c r="AP38">
        <f t="shared" si="2"/>
        <v>18</v>
      </c>
      <c r="AQ38">
        <f t="shared" si="2"/>
        <v>1850</v>
      </c>
      <c r="AR38" t="str">
        <f t="shared" si="2"/>
        <v>England</v>
      </c>
      <c r="AW38">
        <v>21</v>
      </c>
      <c r="AX38" t="s">
        <v>12</v>
      </c>
      <c r="AY38" s="4">
        <v>3</v>
      </c>
      <c r="BA38" t="s">
        <v>92</v>
      </c>
      <c r="BC38" s="4">
        <v>208</v>
      </c>
      <c r="BF38">
        <v>21</v>
      </c>
      <c r="BG38" t="s">
        <v>12</v>
      </c>
      <c r="BH38" s="4">
        <v>3</v>
      </c>
      <c r="BI38" s="4"/>
    </row>
    <row r="39" spans="1:61" x14ac:dyDescent="0.25">
      <c r="A39" t="str">
        <f>_xlfn.CONCAT(C39,D39)</f>
        <v>Wordsworth1790</v>
      </c>
      <c r="C39" t="s">
        <v>7</v>
      </c>
      <c r="D39">
        <v>1790</v>
      </c>
      <c r="E39">
        <f>INT(D39/100)+1</f>
        <v>18</v>
      </c>
      <c r="F39">
        <v>1870</v>
      </c>
      <c r="G39" t="s">
        <v>8</v>
      </c>
      <c r="H39" t="s">
        <v>9</v>
      </c>
      <c r="I39" t="s">
        <v>6</v>
      </c>
      <c r="AL39" t="s">
        <v>134</v>
      </c>
      <c r="AM39" t="str">
        <f t="shared" si="2"/>
        <v>Romanticism</v>
      </c>
      <c r="AN39" t="str">
        <f t="shared" si="2"/>
        <v>Wordsworth</v>
      </c>
      <c r="AO39">
        <f t="shared" si="2"/>
        <v>1780</v>
      </c>
      <c r="AP39">
        <f t="shared" si="2"/>
        <v>18</v>
      </c>
      <c r="AQ39">
        <f t="shared" si="2"/>
        <v>1860</v>
      </c>
      <c r="AR39" t="str">
        <f t="shared" si="2"/>
        <v>England</v>
      </c>
      <c r="AW39">
        <v>23</v>
      </c>
      <c r="AX39" t="s">
        <v>83</v>
      </c>
      <c r="AY39" s="4">
        <v>5</v>
      </c>
      <c r="BF39">
        <v>23</v>
      </c>
      <c r="BG39" t="s">
        <v>8</v>
      </c>
      <c r="BH39" s="4">
        <v>1</v>
      </c>
    </row>
    <row r="40" spans="1:61" x14ac:dyDescent="0.25">
      <c r="A40" t="str">
        <f>_xlfn.CONCAT(C40,D40)</f>
        <v>Goethe1749</v>
      </c>
      <c r="C40" t="s">
        <v>82</v>
      </c>
      <c r="D40">
        <v>1749</v>
      </c>
      <c r="E40">
        <f>INT(D40/100)+1</f>
        <v>18</v>
      </c>
      <c r="F40">
        <v>1832</v>
      </c>
      <c r="G40" t="s">
        <v>83</v>
      </c>
      <c r="H40" t="s">
        <v>84</v>
      </c>
      <c r="I40" t="s">
        <v>81</v>
      </c>
      <c r="AL40" t="s">
        <v>135</v>
      </c>
      <c r="AM40" t="str">
        <f t="shared" si="2"/>
        <v>Romanticism</v>
      </c>
      <c r="AN40" t="str">
        <f t="shared" si="2"/>
        <v>Wordsworth</v>
      </c>
      <c r="AO40">
        <f t="shared" si="2"/>
        <v>1790</v>
      </c>
      <c r="AP40">
        <f t="shared" si="2"/>
        <v>18</v>
      </c>
      <c r="AQ40">
        <f t="shared" si="2"/>
        <v>1870</v>
      </c>
      <c r="AR40" t="str">
        <f t="shared" si="2"/>
        <v>England</v>
      </c>
      <c r="AW40">
        <v>23</v>
      </c>
      <c r="AX40" t="s">
        <v>12</v>
      </c>
      <c r="AY40" s="4">
        <v>2</v>
      </c>
      <c r="BF40">
        <v>23</v>
      </c>
      <c r="BG40" t="s">
        <v>83</v>
      </c>
      <c r="BH40" s="4">
        <v>5</v>
      </c>
    </row>
    <row r="41" spans="1:61" x14ac:dyDescent="0.25">
      <c r="A41" t="str">
        <f>_xlfn.CONCAT(C41,D41)</f>
        <v>Goethe1759</v>
      </c>
      <c r="C41" t="s">
        <v>82</v>
      </c>
      <c r="D41">
        <v>1759</v>
      </c>
      <c r="E41">
        <f>INT(D41/100)+1</f>
        <v>18</v>
      </c>
      <c r="F41">
        <v>1842</v>
      </c>
      <c r="G41" t="s">
        <v>83</v>
      </c>
      <c r="H41" t="s">
        <v>84</v>
      </c>
      <c r="I41" t="s">
        <v>81</v>
      </c>
      <c r="AL41" t="s">
        <v>136</v>
      </c>
      <c r="AM41" t="str">
        <f t="shared" si="2"/>
        <v>Sturm und Drang</v>
      </c>
      <c r="AN41" t="str">
        <f t="shared" si="2"/>
        <v>Goethe</v>
      </c>
      <c r="AO41">
        <f t="shared" si="2"/>
        <v>1749</v>
      </c>
      <c r="AP41">
        <f t="shared" si="2"/>
        <v>18</v>
      </c>
      <c r="AQ41">
        <f t="shared" si="2"/>
        <v>1832</v>
      </c>
      <c r="AR41" t="str">
        <f t="shared" si="2"/>
        <v>Germany</v>
      </c>
      <c r="AW41">
        <v>23</v>
      </c>
      <c r="AX41" t="s">
        <v>8</v>
      </c>
      <c r="AY41" s="4">
        <v>1</v>
      </c>
      <c r="BF41">
        <v>23</v>
      </c>
      <c r="BG41" t="s">
        <v>12</v>
      </c>
      <c r="BH41" s="4">
        <v>2</v>
      </c>
    </row>
    <row r="42" spans="1:61" x14ac:dyDescent="0.25">
      <c r="A42" t="str">
        <f>_xlfn.CONCAT(C42,D42)</f>
        <v>Goethe1769</v>
      </c>
      <c r="C42" t="s">
        <v>82</v>
      </c>
      <c r="D42">
        <v>1769</v>
      </c>
      <c r="E42">
        <f>INT(D42/100)+1</f>
        <v>18</v>
      </c>
      <c r="F42">
        <v>1852</v>
      </c>
      <c r="G42" t="s">
        <v>83</v>
      </c>
      <c r="H42" t="s">
        <v>84</v>
      </c>
      <c r="I42" t="s">
        <v>81</v>
      </c>
      <c r="AL42" t="s">
        <v>137</v>
      </c>
      <c r="AM42" t="str">
        <f t="shared" si="2"/>
        <v>Sturm und Drang</v>
      </c>
      <c r="AN42" t="str">
        <f t="shared" si="2"/>
        <v>Goethe</v>
      </c>
      <c r="AO42">
        <f t="shared" si="2"/>
        <v>1759</v>
      </c>
      <c r="AP42">
        <f t="shared" si="2"/>
        <v>18</v>
      </c>
      <c r="AQ42">
        <f t="shared" si="2"/>
        <v>1842</v>
      </c>
      <c r="AR42" t="str">
        <f t="shared" si="2"/>
        <v>Germany</v>
      </c>
      <c r="AW42" t="s">
        <v>92</v>
      </c>
      <c r="AY42" s="4">
        <v>208</v>
      </c>
      <c r="BF42" t="s">
        <v>92</v>
      </c>
      <c r="BH42" s="4">
        <v>208</v>
      </c>
    </row>
    <row r="43" spans="1:61" x14ac:dyDescent="0.25">
      <c r="A43" t="str">
        <f>_xlfn.CONCAT(C43,D43)</f>
        <v>Goethe1779</v>
      </c>
      <c r="C43" t="s">
        <v>82</v>
      </c>
      <c r="D43">
        <v>1779</v>
      </c>
      <c r="E43">
        <f>INT(D43/100)+1</f>
        <v>18</v>
      </c>
      <c r="F43">
        <v>1862</v>
      </c>
      <c r="G43" t="s">
        <v>83</v>
      </c>
      <c r="H43" t="s">
        <v>84</v>
      </c>
      <c r="I43" t="s">
        <v>81</v>
      </c>
      <c r="AL43" t="s">
        <v>138</v>
      </c>
      <c r="AM43" t="str">
        <f t="shared" si="2"/>
        <v>Sturm und Drang</v>
      </c>
      <c r="AN43" t="str">
        <f t="shared" si="2"/>
        <v>Goethe</v>
      </c>
      <c r="AO43">
        <f t="shared" si="2"/>
        <v>1769</v>
      </c>
      <c r="AP43">
        <f t="shared" si="2"/>
        <v>18</v>
      </c>
      <c r="AQ43">
        <f t="shared" si="2"/>
        <v>1852</v>
      </c>
      <c r="AR43" t="str">
        <f t="shared" si="2"/>
        <v>Germany</v>
      </c>
    </row>
    <row r="44" spans="1:61" x14ac:dyDescent="0.25">
      <c r="A44" t="str">
        <f>_xlfn.CONCAT(C44,D44)</f>
        <v>Goethe1789</v>
      </c>
      <c r="C44" t="s">
        <v>82</v>
      </c>
      <c r="D44">
        <v>1789</v>
      </c>
      <c r="E44">
        <f>INT(D44/100)+1</f>
        <v>18</v>
      </c>
      <c r="F44">
        <v>1872</v>
      </c>
      <c r="G44" t="s">
        <v>83</v>
      </c>
      <c r="H44" t="s">
        <v>84</v>
      </c>
      <c r="I44" t="s">
        <v>81</v>
      </c>
      <c r="AL44" t="s">
        <v>139</v>
      </c>
      <c r="AM44" t="str">
        <f t="shared" si="2"/>
        <v>Sturm und Drang</v>
      </c>
      <c r="AN44" t="str">
        <f t="shared" si="2"/>
        <v>Goethe</v>
      </c>
      <c r="AO44">
        <f t="shared" si="2"/>
        <v>1779</v>
      </c>
      <c r="AP44">
        <f t="shared" si="2"/>
        <v>18</v>
      </c>
      <c r="AQ44">
        <f t="shared" si="2"/>
        <v>1862</v>
      </c>
      <c r="AR44" t="str">
        <f t="shared" si="2"/>
        <v>Germany</v>
      </c>
    </row>
    <row r="45" spans="1:61" x14ac:dyDescent="0.25">
      <c r="A45" t="str">
        <f>_xlfn.CONCAT(C45,D45)</f>
        <v>Goethe1799</v>
      </c>
      <c r="C45" t="s">
        <v>82</v>
      </c>
      <c r="D45">
        <v>1799</v>
      </c>
      <c r="E45">
        <f>INT(D45/100)+1</f>
        <v>18</v>
      </c>
      <c r="F45">
        <v>1882</v>
      </c>
      <c r="G45" t="s">
        <v>83</v>
      </c>
      <c r="H45" t="s">
        <v>84</v>
      </c>
      <c r="I45" t="s">
        <v>81</v>
      </c>
      <c r="AL45" t="s">
        <v>140</v>
      </c>
      <c r="AM45" t="str">
        <f t="shared" si="2"/>
        <v>Sturm und Drang</v>
      </c>
      <c r="AN45" t="str">
        <f t="shared" si="2"/>
        <v>Goethe</v>
      </c>
      <c r="AO45">
        <f t="shared" si="2"/>
        <v>1789</v>
      </c>
      <c r="AP45">
        <f t="shared" si="2"/>
        <v>18</v>
      </c>
      <c r="AQ45">
        <f t="shared" si="2"/>
        <v>1872</v>
      </c>
      <c r="AR45" t="str">
        <f t="shared" si="2"/>
        <v>Germany</v>
      </c>
    </row>
    <row r="46" spans="1:61" x14ac:dyDescent="0.25">
      <c r="A46" t="str">
        <f>_xlfn.CONCAT(C46,D46)</f>
        <v>Wilde1854</v>
      </c>
      <c r="C46" t="s">
        <v>73</v>
      </c>
      <c r="D46">
        <v>1854</v>
      </c>
      <c r="E46">
        <f>INT(D46/100)+1</f>
        <v>19</v>
      </c>
      <c r="F46">
        <v>1900</v>
      </c>
      <c r="G46" t="s">
        <v>74</v>
      </c>
      <c r="H46" t="s">
        <v>75</v>
      </c>
      <c r="I46" t="s">
        <v>72</v>
      </c>
      <c r="AL46" t="s">
        <v>141</v>
      </c>
      <c r="AM46" t="str">
        <f t="shared" si="2"/>
        <v>Sturm und Drang</v>
      </c>
      <c r="AN46" t="str">
        <f t="shared" si="2"/>
        <v>Goethe</v>
      </c>
      <c r="AO46">
        <f t="shared" si="2"/>
        <v>1799</v>
      </c>
      <c r="AP46">
        <f t="shared" si="2"/>
        <v>18</v>
      </c>
      <c r="AQ46">
        <f t="shared" si="2"/>
        <v>1882</v>
      </c>
      <c r="AR46" t="str">
        <f t="shared" si="2"/>
        <v>Germany</v>
      </c>
    </row>
    <row r="47" spans="1:61" x14ac:dyDescent="0.25">
      <c r="A47" t="str">
        <f>_xlfn.CONCAT(C47,D47)</f>
        <v>Wilde1864</v>
      </c>
      <c r="C47" t="s">
        <v>73</v>
      </c>
      <c r="D47">
        <v>1864</v>
      </c>
      <c r="E47">
        <f>INT(D47/100)+1</f>
        <v>19</v>
      </c>
      <c r="F47">
        <v>1910</v>
      </c>
      <c r="G47" t="s">
        <v>74</v>
      </c>
      <c r="H47" t="s">
        <v>75</v>
      </c>
      <c r="I47" t="s">
        <v>72</v>
      </c>
      <c r="AL47" t="s">
        <v>142</v>
      </c>
      <c r="AM47" t="str">
        <f t="shared" si="2"/>
        <v>Aestheticism</v>
      </c>
      <c r="AN47" t="str">
        <f t="shared" si="2"/>
        <v>Wilde</v>
      </c>
      <c r="AO47">
        <f t="shared" si="2"/>
        <v>1854</v>
      </c>
      <c r="AP47">
        <f t="shared" si="2"/>
        <v>19</v>
      </c>
      <c r="AQ47">
        <f t="shared" si="2"/>
        <v>1900</v>
      </c>
      <c r="AR47" t="str">
        <f t="shared" si="2"/>
        <v>Ireland</v>
      </c>
    </row>
    <row r="48" spans="1:61" x14ac:dyDescent="0.25">
      <c r="A48" t="str">
        <f>_xlfn.CONCAT(C48,D48)</f>
        <v>Wilde1874</v>
      </c>
      <c r="C48" t="s">
        <v>73</v>
      </c>
      <c r="D48">
        <v>1874</v>
      </c>
      <c r="E48">
        <f>INT(D48/100)+1</f>
        <v>19</v>
      </c>
      <c r="F48">
        <v>1920</v>
      </c>
      <c r="G48" t="s">
        <v>74</v>
      </c>
      <c r="H48" t="s">
        <v>75</v>
      </c>
      <c r="I48" t="s">
        <v>72</v>
      </c>
      <c r="AL48" t="s">
        <v>143</v>
      </c>
      <c r="AM48" t="str">
        <f t="shared" si="2"/>
        <v>Aestheticism</v>
      </c>
      <c r="AN48" t="str">
        <f t="shared" si="2"/>
        <v>Wilde</v>
      </c>
      <c r="AO48">
        <f t="shared" si="2"/>
        <v>1864</v>
      </c>
      <c r="AP48">
        <f t="shared" si="2"/>
        <v>19</v>
      </c>
      <c r="AQ48">
        <f t="shared" si="2"/>
        <v>1910</v>
      </c>
      <c r="AR48" t="str">
        <f t="shared" si="2"/>
        <v>Ireland</v>
      </c>
    </row>
    <row r="49" spans="1:44" x14ac:dyDescent="0.25">
      <c r="A49" t="str">
        <f>_xlfn.CONCAT(C49,D49)</f>
        <v>Wilde1884</v>
      </c>
      <c r="C49" t="s">
        <v>73</v>
      </c>
      <c r="D49">
        <v>1884</v>
      </c>
      <c r="E49">
        <f>INT(D49/100)+1</f>
        <v>19</v>
      </c>
      <c r="F49">
        <v>1930</v>
      </c>
      <c r="G49" t="s">
        <v>74</v>
      </c>
      <c r="H49" t="s">
        <v>75</v>
      </c>
      <c r="I49" t="s">
        <v>72</v>
      </c>
      <c r="AL49" t="s">
        <v>144</v>
      </c>
      <c r="AM49" t="str">
        <f t="shared" si="2"/>
        <v>Aestheticism</v>
      </c>
      <c r="AN49" t="str">
        <f t="shared" si="2"/>
        <v>Wilde</v>
      </c>
      <c r="AO49">
        <f t="shared" si="2"/>
        <v>1874</v>
      </c>
      <c r="AP49">
        <f t="shared" si="2"/>
        <v>19</v>
      </c>
      <c r="AQ49">
        <f t="shared" si="2"/>
        <v>1920</v>
      </c>
      <c r="AR49" t="str">
        <f t="shared" si="2"/>
        <v>Ireland</v>
      </c>
    </row>
    <row r="50" spans="1:44" x14ac:dyDescent="0.25">
      <c r="A50" t="str">
        <f>_xlfn.CONCAT(C50,D50)</f>
        <v>Wilde1894</v>
      </c>
      <c r="C50" t="s">
        <v>73</v>
      </c>
      <c r="D50">
        <v>1894</v>
      </c>
      <c r="E50">
        <f>INT(D50/100)+1</f>
        <v>19</v>
      </c>
      <c r="F50">
        <v>1940</v>
      </c>
      <c r="G50" t="s">
        <v>74</v>
      </c>
      <c r="H50" t="s">
        <v>75</v>
      </c>
      <c r="I50" t="s">
        <v>72</v>
      </c>
      <c r="AL50" t="s">
        <v>145</v>
      </c>
      <c r="AM50" t="str">
        <f t="shared" si="2"/>
        <v>Aestheticism</v>
      </c>
      <c r="AN50" t="str">
        <f t="shared" si="2"/>
        <v>Wilde</v>
      </c>
      <c r="AO50">
        <f t="shared" si="2"/>
        <v>1884</v>
      </c>
      <c r="AP50">
        <f t="shared" si="2"/>
        <v>19</v>
      </c>
      <c r="AQ50">
        <f t="shared" si="2"/>
        <v>1930</v>
      </c>
      <c r="AR50" t="str">
        <f t="shared" si="2"/>
        <v>Ireland</v>
      </c>
    </row>
    <row r="51" spans="1:44" x14ac:dyDescent="0.25">
      <c r="A51" t="str">
        <f>_xlfn.CONCAT(C51,D51)</f>
        <v>Tagore1861</v>
      </c>
      <c r="C51" t="s">
        <v>32</v>
      </c>
      <c r="D51">
        <v>1861</v>
      </c>
      <c r="E51">
        <f>INT(D51/100)+1</f>
        <v>19</v>
      </c>
      <c r="F51">
        <v>1941</v>
      </c>
      <c r="G51" t="s">
        <v>33</v>
      </c>
      <c r="H51" t="s">
        <v>34</v>
      </c>
      <c r="I51" t="s">
        <v>31</v>
      </c>
      <c r="AL51" t="s">
        <v>146</v>
      </c>
      <c r="AM51" t="str">
        <f t="shared" si="2"/>
        <v>Aestheticism</v>
      </c>
      <c r="AN51" t="str">
        <f t="shared" si="2"/>
        <v>Wilde</v>
      </c>
      <c r="AO51">
        <f t="shared" si="2"/>
        <v>1894</v>
      </c>
      <c r="AP51">
        <f t="shared" si="2"/>
        <v>19</v>
      </c>
      <c r="AQ51">
        <f t="shared" si="2"/>
        <v>1940</v>
      </c>
      <c r="AR51" t="str">
        <f t="shared" si="2"/>
        <v>Ireland</v>
      </c>
    </row>
    <row r="52" spans="1:44" x14ac:dyDescent="0.25">
      <c r="A52" t="str">
        <f>_xlfn.CONCAT(C52,D52)</f>
        <v>Tagore1871</v>
      </c>
      <c r="C52" t="s">
        <v>32</v>
      </c>
      <c r="D52">
        <v>1871</v>
      </c>
      <c r="E52">
        <f>INT(D52/100)+1</f>
        <v>19</v>
      </c>
      <c r="F52">
        <v>1951</v>
      </c>
      <c r="G52" t="s">
        <v>33</v>
      </c>
      <c r="H52" t="s">
        <v>34</v>
      </c>
      <c r="I52" t="s">
        <v>31</v>
      </c>
      <c r="AL52" t="s">
        <v>147</v>
      </c>
      <c r="AM52" t="str">
        <f t="shared" si="2"/>
        <v>Bengali renaissance</v>
      </c>
      <c r="AN52" t="str">
        <f t="shared" si="2"/>
        <v>Tagore</v>
      </c>
      <c r="AO52">
        <f t="shared" si="2"/>
        <v>1861</v>
      </c>
      <c r="AP52">
        <f t="shared" si="2"/>
        <v>19</v>
      </c>
      <c r="AQ52">
        <f t="shared" si="2"/>
        <v>1941</v>
      </c>
      <c r="AR52" t="str">
        <f t="shared" si="2"/>
        <v>India</v>
      </c>
    </row>
    <row r="53" spans="1:44" x14ac:dyDescent="0.25">
      <c r="A53" t="str">
        <f>_xlfn.CONCAT(C53,D53)</f>
        <v>Tagore1881</v>
      </c>
      <c r="C53" t="s">
        <v>32</v>
      </c>
      <c r="D53">
        <v>1881</v>
      </c>
      <c r="E53">
        <f>INT(D53/100)+1</f>
        <v>19</v>
      </c>
      <c r="F53">
        <v>1961</v>
      </c>
      <c r="G53" t="s">
        <v>33</v>
      </c>
      <c r="H53" t="s">
        <v>34</v>
      </c>
      <c r="I53" t="s">
        <v>31</v>
      </c>
      <c r="AL53" t="s">
        <v>148</v>
      </c>
      <c r="AM53" t="str">
        <f t="shared" si="2"/>
        <v>Bengali renaissance</v>
      </c>
      <c r="AN53" t="str">
        <f t="shared" si="2"/>
        <v>Tagore</v>
      </c>
      <c r="AO53">
        <f t="shared" si="2"/>
        <v>1871</v>
      </c>
      <c r="AP53">
        <f t="shared" si="2"/>
        <v>19</v>
      </c>
      <c r="AQ53">
        <f t="shared" si="2"/>
        <v>1951</v>
      </c>
      <c r="AR53" t="str">
        <f t="shared" si="2"/>
        <v>India</v>
      </c>
    </row>
    <row r="54" spans="1:44" x14ac:dyDescent="0.25">
      <c r="A54" t="str">
        <f>_xlfn.CONCAT(C54,D54)</f>
        <v>Tagore1891</v>
      </c>
      <c r="C54" t="s">
        <v>32</v>
      </c>
      <c r="D54">
        <v>1891</v>
      </c>
      <c r="E54">
        <f>INT(D54/100)+1</f>
        <v>19</v>
      </c>
      <c r="F54">
        <v>1971</v>
      </c>
      <c r="G54" t="s">
        <v>33</v>
      </c>
      <c r="H54" t="s">
        <v>34</v>
      </c>
      <c r="I54" t="s">
        <v>31</v>
      </c>
      <c r="AL54" t="s">
        <v>149</v>
      </c>
      <c r="AM54" t="str">
        <f t="shared" si="2"/>
        <v>Bengali renaissance</v>
      </c>
      <c r="AN54" t="str">
        <f t="shared" si="2"/>
        <v>Tagore</v>
      </c>
      <c r="AO54">
        <f t="shared" si="2"/>
        <v>1881</v>
      </c>
      <c r="AP54">
        <f t="shared" si="2"/>
        <v>19</v>
      </c>
      <c r="AQ54">
        <f t="shared" si="2"/>
        <v>1961</v>
      </c>
      <c r="AR54" t="str">
        <f t="shared" si="2"/>
        <v>India</v>
      </c>
    </row>
    <row r="55" spans="1:44" x14ac:dyDescent="0.25">
      <c r="A55" t="str">
        <f>_xlfn.CONCAT(C55,D55)</f>
        <v>Allan Poe1809</v>
      </c>
      <c r="C55" t="s">
        <v>59</v>
      </c>
      <c r="D55">
        <v>1809</v>
      </c>
      <c r="E55">
        <f>INT(D55/100)+1</f>
        <v>19</v>
      </c>
      <c r="F55">
        <v>1849</v>
      </c>
      <c r="G55" t="s">
        <v>12</v>
      </c>
      <c r="H55" t="s">
        <v>60</v>
      </c>
      <c r="I55" t="s">
        <v>58</v>
      </c>
      <c r="AL55" t="s">
        <v>150</v>
      </c>
      <c r="AM55" t="str">
        <f t="shared" si="2"/>
        <v>Bengali renaissance</v>
      </c>
      <c r="AN55" t="str">
        <f t="shared" si="2"/>
        <v>Tagore</v>
      </c>
      <c r="AO55">
        <f t="shared" si="2"/>
        <v>1891</v>
      </c>
      <c r="AP55">
        <f t="shared" si="2"/>
        <v>19</v>
      </c>
      <c r="AQ55">
        <f t="shared" si="2"/>
        <v>1971</v>
      </c>
      <c r="AR55" t="str">
        <f t="shared" si="2"/>
        <v>India</v>
      </c>
    </row>
    <row r="56" spans="1:44" x14ac:dyDescent="0.25">
      <c r="A56" t="str">
        <f>_xlfn.CONCAT(C56,D56)</f>
        <v>Allan Poe1819</v>
      </c>
      <c r="C56" t="s">
        <v>59</v>
      </c>
      <c r="D56">
        <v>1819</v>
      </c>
      <c r="E56">
        <f>INT(D56/100)+1</f>
        <v>19</v>
      </c>
      <c r="F56">
        <v>1859</v>
      </c>
      <c r="G56" t="s">
        <v>12</v>
      </c>
      <c r="H56" t="s">
        <v>60</v>
      </c>
      <c r="I56" t="s">
        <v>58</v>
      </c>
      <c r="AL56" t="s">
        <v>151</v>
      </c>
      <c r="AM56" t="str">
        <f t="shared" si="2"/>
        <v>Gothic fiction</v>
      </c>
      <c r="AN56" t="str">
        <f t="shared" si="2"/>
        <v>Allan Poe</v>
      </c>
      <c r="AO56">
        <f t="shared" si="2"/>
        <v>1809</v>
      </c>
      <c r="AP56">
        <f t="shared" si="2"/>
        <v>19</v>
      </c>
      <c r="AQ56">
        <f t="shared" si="2"/>
        <v>1849</v>
      </c>
      <c r="AR56" t="str">
        <f t="shared" si="2"/>
        <v>United States</v>
      </c>
    </row>
    <row r="57" spans="1:44" x14ac:dyDescent="0.25">
      <c r="A57" t="str">
        <f>_xlfn.CONCAT(C57,D57)</f>
        <v>Allan Poe1829</v>
      </c>
      <c r="C57" t="s">
        <v>59</v>
      </c>
      <c r="D57">
        <v>1829</v>
      </c>
      <c r="E57">
        <f>INT(D57/100)+1</f>
        <v>19</v>
      </c>
      <c r="F57">
        <v>1869</v>
      </c>
      <c r="G57" t="s">
        <v>12</v>
      </c>
      <c r="H57" t="s">
        <v>60</v>
      </c>
      <c r="I57" t="s">
        <v>58</v>
      </c>
      <c r="AL57" t="s">
        <v>152</v>
      </c>
      <c r="AM57" t="str">
        <f t="shared" si="2"/>
        <v>Gothic fiction</v>
      </c>
      <c r="AN57" t="str">
        <f t="shared" si="2"/>
        <v>Allan Poe</v>
      </c>
      <c r="AO57">
        <f t="shared" si="2"/>
        <v>1819</v>
      </c>
      <c r="AP57">
        <f t="shared" si="2"/>
        <v>19</v>
      </c>
      <c r="AQ57">
        <f t="shared" si="2"/>
        <v>1859</v>
      </c>
      <c r="AR57" t="str">
        <f t="shared" si="2"/>
        <v>United States</v>
      </c>
    </row>
    <row r="58" spans="1:44" x14ac:dyDescent="0.25">
      <c r="A58" t="str">
        <f>_xlfn.CONCAT(C58,D58)</f>
        <v>Allan Poe1839</v>
      </c>
      <c r="C58" t="s">
        <v>59</v>
      </c>
      <c r="D58">
        <v>1839</v>
      </c>
      <c r="E58">
        <f>INT(D58/100)+1</f>
        <v>19</v>
      </c>
      <c r="F58">
        <v>1879</v>
      </c>
      <c r="G58" t="s">
        <v>12</v>
      </c>
      <c r="H58" t="s">
        <v>60</v>
      </c>
      <c r="I58" t="s">
        <v>58</v>
      </c>
      <c r="AL58" t="s">
        <v>153</v>
      </c>
      <c r="AM58" t="str">
        <f t="shared" si="2"/>
        <v>Gothic fiction</v>
      </c>
      <c r="AN58" t="str">
        <f t="shared" si="2"/>
        <v>Allan Poe</v>
      </c>
      <c r="AO58">
        <f t="shared" si="2"/>
        <v>1829</v>
      </c>
      <c r="AP58">
        <f t="shared" si="2"/>
        <v>19</v>
      </c>
      <c r="AQ58">
        <f t="shared" si="2"/>
        <v>1869</v>
      </c>
      <c r="AR58" t="str">
        <f t="shared" si="2"/>
        <v>United States</v>
      </c>
    </row>
    <row r="59" spans="1:44" x14ac:dyDescent="0.25">
      <c r="A59" t="str">
        <f>_xlfn.CONCAT(C59,D59)</f>
        <v>Allan Poe1849</v>
      </c>
      <c r="C59" t="s">
        <v>59</v>
      </c>
      <c r="D59">
        <v>1849</v>
      </c>
      <c r="E59">
        <f>INT(D59/100)+1</f>
        <v>19</v>
      </c>
      <c r="F59">
        <v>1889</v>
      </c>
      <c r="G59" t="s">
        <v>12</v>
      </c>
      <c r="H59" t="s">
        <v>60</v>
      </c>
      <c r="I59" t="s">
        <v>58</v>
      </c>
      <c r="AL59" t="s">
        <v>154</v>
      </c>
      <c r="AM59" t="str">
        <f t="shared" si="2"/>
        <v>Gothic fiction</v>
      </c>
      <c r="AN59" t="str">
        <f t="shared" si="2"/>
        <v>Allan Poe</v>
      </c>
      <c r="AO59">
        <f t="shared" si="2"/>
        <v>1839</v>
      </c>
      <c r="AP59">
        <f t="shared" si="2"/>
        <v>19</v>
      </c>
      <c r="AQ59">
        <f t="shared" si="2"/>
        <v>1879</v>
      </c>
      <c r="AR59" t="str">
        <f t="shared" si="2"/>
        <v>United States</v>
      </c>
    </row>
    <row r="60" spans="1:44" x14ac:dyDescent="0.25">
      <c r="A60" t="str">
        <f>_xlfn.CONCAT(C60,D60)</f>
        <v>Allan Poe1859</v>
      </c>
      <c r="C60" t="s">
        <v>59</v>
      </c>
      <c r="D60">
        <v>1859</v>
      </c>
      <c r="E60">
        <f>INT(D60/100)+1</f>
        <v>19</v>
      </c>
      <c r="F60">
        <v>1899</v>
      </c>
      <c r="G60" t="s">
        <v>12</v>
      </c>
      <c r="H60" t="s">
        <v>60</v>
      </c>
      <c r="I60" t="s">
        <v>58</v>
      </c>
      <c r="AL60" t="s">
        <v>155</v>
      </c>
      <c r="AM60" t="str">
        <f t="shared" si="2"/>
        <v>Gothic fiction</v>
      </c>
      <c r="AN60" t="str">
        <f t="shared" si="2"/>
        <v>Allan Poe</v>
      </c>
      <c r="AO60">
        <f t="shared" si="2"/>
        <v>1849</v>
      </c>
      <c r="AP60">
        <f t="shared" si="2"/>
        <v>19</v>
      </c>
      <c r="AQ60">
        <f t="shared" si="2"/>
        <v>1889</v>
      </c>
      <c r="AR60" t="str">
        <f t="shared" si="2"/>
        <v>United States</v>
      </c>
    </row>
    <row r="61" spans="1:44" x14ac:dyDescent="0.25">
      <c r="A61" t="str">
        <f>_xlfn.CONCAT(C61,D61)</f>
        <v>Allan Poe1869</v>
      </c>
      <c r="C61" t="s">
        <v>59</v>
      </c>
      <c r="D61">
        <v>1869</v>
      </c>
      <c r="E61">
        <f>INT(D61/100)+1</f>
        <v>19</v>
      </c>
      <c r="F61">
        <v>1909</v>
      </c>
      <c r="G61" t="s">
        <v>12</v>
      </c>
      <c r="H61" t="s">
        <v>60</v>
      </c>
      <c r="I61" t="s">
        <v>58</v>
      </c>
      <c r="AL61" t="s">
        <v>156</v>
      </c>
      <c r="AM61" t="str">
        <f t="shared" si="2"/>
        <v>Gothic fiction</v>
      </c>
      <c r="AN61" t="str">
        <f t="shared" si="2"/>
        <v>Allan Poe</v>
      </c>
      <c r="AO61">
        <f t="shared" si="2"/>
        <v>1859</v>
      </c>
      <c r="AP61">
        <f t="shared" si="2"/>
        <v>19</v>
      </c>
      <c r="AQ61">
        <f t="shared" si="2"/>
        <v>1899</v>
      </c>
      <c r="AR61" t="str">
        <f t="shared" si="2"/>
        <v>United States</v>
      </c>
    </row>
    <row r="62" spans="1:44" x14ac:dyDescent="0.25">
      <c r="A62" t="str">
        <f>_xlfn.CONCAT(C62,D62)</f>
        <v>Allan Poe1879</v>
      </c>
      <c r="C62" t="s">
        <v>59</v>
      </c>
      <c r="D62">
        <v>1879</v>
      </c>
      <c r="E62">
        <f>INT(D62/100)+1</f>
        <v>19</v>
      </c>
      <c r="F62">
        <v>1919</v>
      </c>
      <c r="G62" t="s">
        <v>12</v>
      </c>
      <c r="H62" t="s">
        <v>60</v>
      </c>
      <c r="I62" t="s">
        <v>58</v>
      </c>
      <c r="AL62" t="s">
        <v>157</v>
      </c>
      <c r="AM62" t="str">
        <f t="shared" si="2"/>
        <v>Gothic fiction</v>
      </c>
      <c r="AN62" t="str">
        <f t="shared" si="2"/>
        <v>Allan Poe</v>
      </c>
      <c r="AO62">
        <f t="shared" si="2"/>
        <v>1869</v>
      </c>
      <c r="AP62">
        <f t="shared" si="2"/>
        <v>19</v>
      </c>
      <c r="AQ62">
        <f t="shared" si="2"/>
        <v>1909</v>
      </c>
      <c r="AR62" t="str">
        <f t="shared" si="2"/>
        <v>United States</v>
      </c>
    </row>
    <row r="63" spans="1:44" x14ac:dyDescent="0.25">
      <c r="A63" t="str">
        <f>_xlfn.CONCAT(C63,D63)</f>
        <v>Dickinson1830</v>
      </c>
      <c r="C63" t="s">
        <v>18</v>
      </c>
      <c r="D63">
        <v>1830</v>
      </c>
      <c r="E63">
        <f>INT(D63/100)+1</f>
        <v>19</v>
      </c>
      <c r="F63">
        <v>1886</v>
      </c>
      <c r="G63" t="s">
        <v>12</v>
      </c>
      <c r="H63" t="s">
        <v>19</v>
      </c>
      <c r="I63" t="s">
        <v>17</v>
      </c>
      <c r="AL63" t="s">
        <v>158</v>
      </c>
      <c r="AM63" t="str">
        <f t="shared" si="2"/>
        <v>Gothic fiction</v>
      </c>
      <c r="AN63" t="str">
        <f t="shared" si="2"/>
        <v>Allan Poe</v>
      </c>
      <c r="AO63">
        <f t="shared" si="2"/>
        <v>1879</v>
      </c>
      <c r="AP63">
        <f t="shared" si="2"/>
        <v>19</v>
      </c>
      <c r="AQ63">
        <f t="shared" si="2"/>
        <v>1919</v>
      </c>
      <c r="AR63" t="str">
        <f t="shared" si="2"/>
        <v>United States</v>
      </c>
    </row>
    <row r="64" spans="1:44" x14ac:dyDescent="0.25">
      <c r="A64" t="str">
        <f>_xlfn.CONCAT(C64,D64)</f>
        <v>Dickinson1840</v>
      </c>
      <c r="C64" t="s">
        <v>18</v>
      </c>
      <c r="D64">
        <v>1840</v>
      </c>
      <c r="E64">
        <f>INT(D64/100)+1</f>
        <v>19</v>
      </c>
      <c r="F64">
        <v>1896</v>
      </c>
      <c r="G64" t="s">
        <v>12</v>
      </c>
      <c r="H64" t="s">
        <v>19</v>
      </c>
      <c r="I64" t="s">
        <v>17</v>
      </c>
      <c r="AL64" t="s">
        <v>159</v>
      </c>
      <c r="AM64" t="str">
        <f t="shared" si="2"/>
        <v>Lyric poetry</v>
      </c>
      <c r="AN64" t="str">
        <f t="shared" si="2"/>
        <v>Dickinson</v>
      </c>
      <c r="AO64">
        <f t="shared" si="2"/>
        <v>1830</v>
      </c>
      <c r="AP64">
        <f t="shared" si="2"/>
        <v>19</v>
      </c>
      <c r="AQ64">
        <f t="shared" si="2"/>
        <v>1886</v>
      </c>
      <c r="AR64" t="str">
        <f t="shared" si="2"/>
        <v>United States</v>
      </c>
    </row>
    <row r="65" spans="1:44" x14ac:dyDescent="0.25">
      <c r="A65" t="str">
        <f>_xlfn.CONCAT(C65,D65)</f>
        <v>Dickinson1850</v>
      </c>
      <c r="C65" t="s">
        <v>18</v>
      </c>
      <c r="D65">
        <v>1850</v>
      </c>
      <c r="E65">
        <f>INT(D65/100)+1</f>
        <v>19</v>
      </c>
      <c r="F65">
        <v>1906</v>
      </c>
      <c r="G65" t="s">
        <v>12</v>
      </c>
      <c r="H65" t="s">
        <v>19</v>
      </c>
      <c r="I65" t="s">
        <v>17</v>
      </c>
      <c r="AL65" t="s">
        <v>160</v>
      </c>
      <c r="AM65" t="str">
        <f t="shared" si="2"/>
        <v>Lyric poetry</v>
      </c>
      <c r="AN65" t="str">
        <f t="shared" si="2"/>
        <v>Dickinson</v>
      </c>
      <c r="AO65">
        <f t="shared" si="2"/>
        <v>1840</v>
      </c>
      <c r="AP65">
        <f t="shared" si="2"/>
        <v>19</v>
      </c>
      <c r="AQ65">
        <f t="shared" si="2"/>
        <v>1896</v>
      </c>
      <c r="AR65" t="str">
        <f t="shared" si="2"/>
        <v>United States</v>
      </c>
    </row>
    <row r="66" spans="1:44" x14ac:dyDescent="0.25">
      <c r="A66" t="str">
        <f>_xlfn.CONCAT(C66,D66)</f>
        <v>Dickinson1860</v>
      </c>
      <c r="C66" t="s">
        <v>18</v>
      </c>
      <c r="D66">
        <v>1860</v>
      </c>
      <c r="E66">
        <f>INT(D66/100)+1</f>
        <v>19</v>
      </c>
      <c r="F66">
        <v>1916</v>
      </c>
      <c r="G66" t="s">
        <v>12</v>
      </c>
      <c r="H66" t="s">
        <v>19</v>
      </c>
      <c r="I66" t="s">
        <v>17</v>
      </c>
      <c r="AL66" t="s">
        <v>161</v>
      </c>
      <c r="AM66" t="str">
        <f t="shared" si="2"/>
        <v>Lyric poetry</v>
      </c>
      <c r="AN66" t="str">
        <f t="shared" si="2"/>
        <v>Dickinson</v>
      </c>
      <c r="AO66">
        <f t="shared" si="2"/>
        <v>1850</v>
      </c>
      <c r="AP66">
        <f t="shared" si="2"/>
        <v>19</v>
      </c>
      <c r="AQ66">
        <f t="shared" si="2"/>
        <v>1906</v>
      </c>
      <c r="AR66" t="str">
        <f t="shared" si="2"/>
        <v>United States</v>
      </c>
    </row>
    <row r="67" spans="1:44" x14ac:dyDescent="0.25">
      <c r="A67" t="str">
        <f>_xlfn.CONCAT(C67,D67)</f>
        <v>Dickinson1870</v>
      </c>
      <c r="C67" t="s">
        <v>18</v>
      </c>
      <c r="D67">
        <v>1870</v>
      </c>
      <c r="E67">
        <f>INT(D67/100)+1</f>
        <v>19</v>
      </c>
      <c r="F67">
        <v>1926</v>
      </c>
      <c r="G67" t="s">
        <v>12</v>
      </c>
      <c r="H67" t="s">
        <v>19</v>
      </c>
      <c r="I67" t="s">
        <v>17</v>
      </c>
      <c r="AL67" t="s">
        <v>162</v>
      </c>
      <c r="AM67" t="str">
        <f t="shared" si="2"/>
        <v>Lyric poetry</v>
      </c>
      <c r="AN67" t="str">
        <f t="shared" si="2"/>
        <v>Dickinson</v>
      </c>
      <c r="AO67">
        <f t="shared" si="2"/>
        <v>1860</v>
      </c>
      <c r="AP67">
        <f t="shared" si="2"/>
        <v>19</v>
      </c>
      <c r="AQ67">
        <f t="shared" si="2"/>
        <v>1916</v>
      </c>
      <c r="AR67" t="str">
        <f t="shared" si="2"/>
        <v>United States</v>
      </c>
    </row>
    <row r="68" spans="1:44" x14ac:dyDescent="0.25">
      <c r="A68" t="str">
        <f>_xlfn.CONCAT(C68,D68)</f>
        <v>Dickinson1880</v>
      </c>
      <c r="C68" t="s">
        <v>18</v>
      </c>
      <c r="D68">
        <v>1880</v>
      </c>
      <c r="E68">
        <f>INT(D68/100)+1</f>
        <v>19</v>
      </c>
      <c r="F68">
        <v>1936</v>
      </c>
      <c r="G68" t="s">
        <v>12</v>
      </c>
      <c r="H68" t="s">
        <v>19</v>
      </c>
      <c r="I68" t="s">
        <v>17</v>
      </c>
      <c r="AL68" t="s">
        <v>163</v>
      </c>
      <c r="AM68" t="str">
        <f t="shared" si="2"/>
        <v>Lyric poetry</v>
      </c>
      <c r="AN68" t="str">
        <f t="shared" si="2"/>
        <v>Dickinson</v>
      </c>
      <c r="AO68">
        <f t="shared" si="2"/>
        <v>1870</v>
      </c>
      <c r="AP68">
        <f t="shared" si="2"/>
        <v>19</v>
      </c>
      <c r="AQ68">
        <f t="shared" si="2"/>
        <v>1926</v>
      </c>
      <c r="AR68" t="str">
        <f t="shared" si="2"/>
        <v>United States</v>
      </c>
    </row>
    <row r="69" spans="1:44" x14ac:dyDescent="0.25">
      <c r="A69" t="str">
        <f>_xlfn.CONCAT(C69,D69)</f>
        <v>Dickinson1890</v>
      </c>
      <c r="C69" t="s">
        <v>18</v>
      </c>
      <c r="D69">
        <v>1890</v>
      </c>
      <c r="E69">
        <f>INT(D69/100)+1</f>
        <v>19</v>
      </c>
      <c r="F69">
        <v>1946</v>
      </c>
      <c r="G69" t="s">
        <v>12</v>
      </c>
      <c r="H69" t="s">
        <v>19</v>
      </c>
      <c r="I69" t="s">
        <v>17</v>
      </c>
      <c r="AL69" t="s">
        <v>164</v>
      </c>
      <c r="AM69" t="str">
        <f t="shared" si="2"/>
        <v>Lyric poetry</v>
      </c>
      <c r="AN69" t="str">
        <f t="shared" si="2"/>
        <v>Dickinson</v>
      </c>
      <c r="AO69">
        <f t="shared" si="2"/>
        <v>1880</v>
      </c>
      <c r="AP69">
        <f t="shared" si="2"/>
        <v>19</v>
      </c>
      <c r="AQ69">
        <f t="shared" si="2"/>
        <v>1936</v>
      </c>
      <c r="AR69" t="str">
        <f t="shared" si="2"/>
        <v>United States</v>
      </c>
    </row>
    <row r="70" spans="1:44" x14ac:dyDescent="0.25">
      <c r="A70" t="str">
        <f>_xlfn.CONCAT(C70,D70)</f>
        <v>Woolf1882</v>
      </c>
      <c r="C70" t="s">
        <v>77</v>
      </c>
      <c r="D70">
        <v>1882</v>
      </c>
      <c r="E70">
        <f>INT(D70/100)+1</f>
        <v>19</v>
      </c>
      <c r="F70">
        <v>1941</v>
      </c>
      <c r="G70" t="s">
        <v>8</v>
      </c>
      <c r="H70" t="s">
        <v>78</v>
      </c>
      <c r="I70" t="s">
        <v>76</v>
      </c>
      <c r="AL70" t="s">
        <v>165</v>
      </c>
      <c r="AM70" t="str">
        <f t="shared" si="2"/>
        <v>Lyric poetry</v>
      </c>
      <c r="AN70" t="str">
        <f t="shared" si="2"/>
        <v>Dickinson</v>
      </c>
      <c r="AO70">
        <f t="shared" si="2"/>
        <v>1890</v>
      </c>
      <c r="AP70">
        <f t="shared" si="2"/>
        <v>19</v>
      </c>
      <c r="AQ70">
        <f t="shared" si="2"/>
        <v>1946</v>
      </c>
      <c r="AR70" t="str">
        <f t="shared" si="2"/>
        <v>United States</v>
      </c>
    </row>
    <row r="71" spans="1:44" x14ac:dyDescent="0.25">
      <c r="A71" t="str">
        <f>_xlfn.CONCAT(C71,D71)</f>
        <v>Woolf1892</v>
      </c>
      <c r="C71" t="s">
        <v>77</v>
      </c>
      <c r="D71">
        <v>1892</v>
      </c>
      <c r="E71">
        <f>INT(D71/100)+1</f>
        <v>19</v>
      </c>
      <c r="F71">
        <v>1951</v>
      </c>
      <c r="G71" t="s">
        <v>8</v>
      </c>
      <c r="H71" t="s">
        <v>78</v>
      </c>
      <c r="I71" t="s">
        <v>76</v>
      </c>
      <c r="AL71" t="s">
        <v>166</v>
      </c>
      <c r="AM71" t="str">
        <f t="shared" si="2"/>
        <v>Modern literature</v>
      </c>
      <c r="AN71" t="str">
        <f t="shared" si="2"/>
        <v>Woolf</v>
      </c>
      <c r="AO71">
        <f t="shared" si="2"/>
        <v>1882</v>
      </c>
      <c r="AP71">
        <f t="shared" ref="AM71:AR134" si="3">VLOOKUP($AL71,$A$2:$I$209,AP$2,FALSE)</f>
        <v>19</v>
      </c>
      <c r="AQ71">
        <f t="shared" si="3"/>
        <v>1941</v>
      </c>
      <c r="AR71" t="str">
        <f t="shared" si="3"/>
        <v>England</v>
      </c>
    </row>
    <row r="72" spans="1:44" x14ac:dyDescent="0.25">
      <c r="A72" t="str">
        <f>_xlfn.CONCAT(C72,D72)</f>
        <v>Frost1874</v>
      </c>
      <c r="C72" t="s">
        <v>56</v>
      </c>
      <c r="D72">
        <v>1874</v>
      </c>
      <c r="E72">
        <f>INT(D72/100)+1</f>
        <v>19</v>
      </c>
      <c r="F72">
        <v>1963</v>
      </c>
      <c r="G72" t="s">
        <v>12</v>
      </c>
      <c r="H72" t="s">
        <v>57</v>
      </c>
      <c r="I72" t="s">
        <v>55</v>
      </c>
      <c r="AL72" t="s">
        <v>167</v>
      </c>
      <c r="AM72" t="str">
        <f t="shared" si="3"/>
        <v>Modern literature</v>
      </c>
      <c r="AN72" t="str">
        <f t="shared" si="3"/>
        <v>Woolf</v>
      </c>
      <c r="AO72">
        <f t="shared" si="3"/>
        <v>1892</v>
      </c>
      <c r="AP72">
        <f t="shared" si="3"/>
        <v>19</v>
      </c>
      <c r="AQ72">
        <f t="shared" si="3"/>
        <v>1951</v>
      </c>
      <c r="AR72" t="str">
        <f t="shared" si="3"/>
        <v>England</v>
      </c>
    </row>
    <row r="73" spans="1:44" x14ac:dyDescent="0.25">
      <c r="A73" t="str">
        <f>_xlfn.CONCAT(C73,D73)</f>
        <v>Frost1884</v>
      </c>
      <c r="C73" t="s">
        <v>56</v>
      </c>
      <c r="D73">
        <v>1884</v>
      </c>
      <c r="E73">
        <f>INT(D73/100)+1</f>
        <v>19</v>
      </c>
      <c r="F73">
        <v>1973</v>
      </c>
      <c r="G73" t="s">
        <v>12</v>
      </c>
      <c r="H73" t="s">
        <v>57</v>
      </c>
      <c r="I73" t="s">
        <v>55</v>
      </c>
      <c r="AL73" t="s">
        <v>168</v>
      </c>
      <c r="AM73" t="str">
        <f t="shared" si="3"/>
        <v>Poetry of rural life</v>
      </c>
      <c r="AN73" t="str">
        <f t="shared" si="3"/>
        <v>Frost</v>
      </c>
      <c r="AO73">
        <f t="shared" si="3"/>
        <v>1874</v>
      </c>
      <c r="AP73">
        <f t="shared" si="3"/>
        <v>19</v>
      </c>
      <c r="AQ73">
        <f t="shared" si="3"/>
        <v>1963</v>
      </c>
      <c r="AR73" t="str">
        <f t="shared" si="3"/>
        <v>United States</v>
      </c>
    </row>
    <row r="74" spans="1:44" x14ac:dyDescent="0.25">
      <c r="A74" t="str">
        <f>_xlfn.CONCAT(C74,D74)</f>
        <v>Frost1894</v>
      </c>
      <c r="C74" t="s">
        <v>56</v>
      </c>
      <c r="D74">
        <v>1894</v>
      </c>
      <c r="E74">
        <f>INT(D74/100)+1</f>
        <v>19</v>
      </c>
      <c r="F74">
        <v>1983</v>
      </c>
      <c r="G74" t="s">
        <v>12</v>
      </c>
      <c r="H74" t="s">
        <v>57</v>
      </c>
      <c r="I74" t="s">
        <v>55</v>
      </c>
      <c r="AL74" t="s">
        <v>169</v>
      </c>
      <c r="AM74" t="str">
        <f t="shared" si="3"/>
        <v>Poetry of rural life</v>
      </c>
      <c r="AN74" t="str">
        <f t="shared" si="3"/>
        <v>Frost</v>
      </c>
      <c r="AO74">
        <f t="shared" si="3"/>
        <v>1884</v>
      </c>
      <c r="AP74">
        <f t="shared" si="3"/>
        <v>19</v>
      </c>
      <c r="AQ74">
        <f t="shared" si="3"/>
        <v>1973</v>
      </c>
      <c r="AR74" t="str">
        <f t="shared" si="3"/>
        <v>United States</v>
      </c>
    </row>
    <row r="75" spans="1:44" x14ac:dyDescent="0.25">
      <c r="A75" t="str">
        <f>_xlfn.CONCAT(C75,D75)</f>
        <v>Keats1805</v>
      </c>
      <c r="C75" t="s">
        <v>43</v>
      </c>
      <c r="D75">
        <v>1805</v>
      </c>
      <c r="E75">
        <f>INT(D75/100)+1</f>
        <v>19</v>
      </c>
      <c r="F75">
        <v>1831</v>
      </c>
      <c r="G75" t="s">
        <v>8</v>
      </c>
      <c r="H75" t="s">
        <v>44</v>
      </c>
      <c r="I75" t="s">
        <v>42</v>
      </c>
      <c r="AL75" t="s">
        <v>170</v>
      </c>
      <c r="AM75" t="str">
        <f t="shared" si="3"/>
        <v>Poetry of rural life</v>
      </c>
      <c r="AN75" t="str">
        <f t="shared" si="3"/>
        <v>Frost</v>
      </c>
      <c r="AO75">
        <f t="shared" si="3"/>
        <v>1894</v>
      </c>
      <c r="AP75">
        <f t="shared" si="3"/>
        <v>19</v>
      </c>
      <c r="AQ75">
        <f t="shared" si="3"/>
        <v>1983</v>
      </c>
      <c r="AR75" t="str">
        <f t="shared" si="3"/>
        <v>United States</v>
      </c>
    </row>
    <row r="76" spans="1:44" x14ac:dyDescent="0.25">
      <c r="A76" t="str">
        <f>_xlfn.CONCAT(C76,D76)</f>
        <v>Byron1808</v>
      </c>
      <c r="C76" t="s">
        <v>71</v>
      </c>
      <c r="D76">
        <v>1808</v>
      </c>
      <c r="E76">
        <f>INT(D76/100)+1</f>
        <v>19</v>
      </c>
      <c r="F76">
        <v>1844</v>
      </c>
      <c r="G76" t="s">
        <v>8</v>
      </c>
      <c r="H76" t="s">
        <v>44</v>
      </c>
      <c r="I76" t="s">
        <v>70</v>
      </c>
      <c r="AL76" t="s">
        <v>171</v>
      </c>
      <c r="AM76" t="str">
        <f t="shared" si="3"/>
        <v>Romantic poetry</v>
      </c>
      <c r="AN76" t="str">
        <f t="shared" si="3"/>
        <v>Keats</v>
      </c>
      <c r="AO76">
        <f t="shared" si="3"/>
        <v>1805</v>
      </c>
      <c r="AP76">
        <f t="shared" si="3"/>
        <v>19</v>
      </c>
      <c r="AQ76">
        <f t="shared" si="3"/>
        <v>1831</v>
      </c>
      <c r="AR76" t="str">
        <f t="shared" si="3"/>
        <v>England</v>
      </c>
    </row>
    <row r="77" spans="1:44" x14ac:dyDescent="0.25">
      <c r="A77" t="str">
        <f>_xlfn.CONCAT(C77,D77)</f>
        <v>Keats1815</v>
      </c>
      <c r="C77" t="s">
        <v>43</v>
      </c>
      <c r="D77">
        <v>1815</v>
      </c>
      <c r="E77">
        <f>INT(D77/100)+1</f>
        <v>19</v>
      </c>
      <c r="F77">
        <v>1841</v>
      </c>
      <c r="G77" t="s">
        <v>8</v>
      </c>
      <c r="H77" t="s">
        <v>44</v>
      </c>
      <c r="I77" t="s">
        <v>42</v>
      </c>
      <c r="AL77" t="s">
        <v>172</v>
      </c>
      <c r="AM77" t="str">
        <f t="shared" si="3"/>
        <v>Romantic poetry</v>
      </c>
      <c r="AN77" t="str">
        <f t="shared" si="3"/>
        <v>Byron</v>
      </c>
      <c r="AO77">
        <f t="shared" si="3"/>
        <v>1808</v>
      </c>
      <c r="AP77">
        <f t="shared" si="3"/>
        <v>19</v>
      </c>
      <c r="AQ77">
        <f t="shared" si="3"/>
        <v>1844</v>
      </c>
      <c r="AR77" t="str">
        <f t="shared" si="3"/>
        <v>England</v>
      </c>
    </row>
    <row r="78" spans="1:44" x14ac:dyDescent="0.25">
      <c r="A78" t="str">
        <f>_xlfn.CONCAT(C78,D78)</f>
        <v>Byron1818</v>
      </c>
      <c r="C78" t="s">
        <v>71</v>
      </c>
      <c r="D78">
        <v>1818</v>
      </c>
      <c r="E78">
        <f>INT(D78/100)+1</f>
        <v>19</v>
      </c>
      <c r="F78">
        <v>1854</v>
      </c>
      <c r="G78" t="s">
        <v>8</v>
      </c>
      <c r="H78" t="s">
        <v>44</v>
      </c>
      <c r="I78" t="s">
        <v>70</v>
      </c>
      <c r="AL78" t="s">
        <v>173</v>
      </c>
      <c r="AM78" t="str">
        <f t="shared" si="3"/>
        <v>Romantic poetry</v>
      </c>
      <c r="AN78" t="str">
        <f t="shared" si="3"/>
        <v>Keats</v>
      </c>
      <c r="AO78">
        <f t="shared" si="3"/>
        <v>1815</v>
      </c>
      <c r="AP78">
        <f t="shared" si="3"/>
        <v>19</v>
      </c>
      <c r="AQ78">
        <f t="shared" si="3"/>
        <v>1841</v>
      </c>
      <c r="AR78" t="str">
        <f t="shared" si="3"/>
        <v>England</v>
      </c>
    </row>
    <row r="79" spans="1:44" x14ac:dyDescent="0.25">
      <c r="A79" t="str">
        <f>_xlfn.CONCAT(C79,D79)</f>
        <v>Keats1825</v>
      </c>
      <c r="C79" t="s">
        <v>43</v>
      </c>
      <c r="D79">
        <v>1825</v>
      </c>
      <c r="E79">
        <f>INT(D79/100)+1</f>
        <v>19</v>
      </c>
      <c r="F79">
        <v>1851</v>
      </c>
      <c r="G79" t="s">
        <v>8</v>
      </c>
      <c r="H79" t="s">
        <v>44</v>
      </c>
      <c r="I79" t="s">
        <v>42</v>
      </c>
      <c r="AL79" t="s">
        <v>174</v>
      </c>
      <c r="AM79" t="str">
        <f t="shared" si="3"/>
        <v>Romantic poetry</v>
      </c>
      <c r="AN79" t="str">
        <f t="shared" si="3"/>
        <v>Byron</v>
      </c>
      <c r="AO79">
        <f t="shared" si="3"/>
        <v>1818</v>
      </c>
      <c r="AP79">
        <f t="shared" si="3"/>
        <v>19</v>
      </c>
      <c r="AQ79">
        <f t="shared" si="3"/>
        <v>1854</v>
      </c>
      <c r="AR79" t="str">
        <f t="shared" si="3"/>
        <v>England</v>
      </c>
    </row>
    <row r="80" spans="1:44" x14ac:dyDescent="0.25">
      <c r="A80" t="str">
        <f>_xlfn.CONCAT(C80,D80)</f>
        <v>Byron1828</v>
      </c>
      <c r="C80" t="s">
        <v>71</v>
      </c>
      <c r="D80">
        <v>1828</v>
      </c>
      <c r="E80">
        <f>INT(D80/100)+1</f>
        <v>19</v>
      </c>
      <c r="F80">
        <v>1864</v>
      </c>
      <c r="G80" t="s">
        <v>8</v>
      </c>
      <c r="H80" t="s">
        <v>44</v>
      </c>
      <c r="I80" t="s">
        <v>70</v>
      </c>
      <c r="AL80" t="s">
        <v>175</v>
      </c>
      <c r="AM80" t="str">
        <f t="shared" si="3"/>
        <v>Romantic poetry</v>
      </c>
      <c r="AN80" t="str">
        <f t="shared" si="3"/>
        <v>Keats</v>
      </c>
      <c r="AO80">
        <f t="shared" si="3"/>
        <v>1825</v>
      </c>
      <c r="AP80">
        <f t="shared" si="3"/>
        <v>19</v>
      </c>
      <c r="AQ80">
        <f t="shared" si="3"/>
        <v>1851</v>
      </c>
      <c r="AR80" t="str">
        <f t="shared" si="3"/>
        <v>England</v>
      </c>
    </row>
    <row r="81" spans="1:44" x14ac:dyDescent="0.25">
      <c r="A81" t="str">
        <f>_xlfn.CONCAT(C81,D81)</f>
        <v>Keats1835</v>
      </c>
      <c r="C81" t="s">
        <v>43</v>
      </c>
      <c r="D81">
        <v>1835</v>
      </c>
      <c r="E81">
        <f>INT(D81/100)+1</f>
        <v>19</v>
      </c>
      <c r="F81">
        <v>1861</v>
      </c>
      <c r="G81" t="s">
        <v>8</v>
      </c>
      <c r="H81" t="s">
        <v>44</v>
      </c>
      <c r="I81" t="s">
        <v>42</v>
      </c>
      <c r="AL81" t="s">
        <v>176</v>
      </c>
      <c r="AM81" t="str">
        <f t="shared" si="3"/>
        <v>Romantic poetry</v>
      </c>
      <c r="AN81" t="str">
        <f t="shared" si="3"/>
        <v>Byron</v>
      </c>
      <c r="AO81">
        <f t="shared" si="3"/>
        <v>1828</v>
      </c>
      <c r="AP81">
        <f t="shared" si="3"/>
        <v>19</v>
      </c>
      <c r="AQ81">
        <f t="shared" si="3"/>
        <v>1864</v>
      </c>
      <c r="AR81" t="str">
        <f t="shared" si="3"/>
        <v>England</v>
      </c>
    </row>
    <row r="82" spans="1:44" x14ac:dyDescent="0.25">
      <c r="A82" t="str">
        <f>_xlfn.CONCAT(C82,D82)</f>
        <v>Byron1838</v>
      </c>
      <c r="C82" t="s">
        <v>71</v>
      </c>
      <c r="D82">
        <v>1838</v>
      </c>
      <c r="E82">
        <f>INT(D82/100)+1</f>
        <v>19</v>
      </c>
      <c r="F82">
        <v>1874</v>
      </c>
      <c r="G82" t="s">
        <v>8</v>
      </c>
      <c r="H82" t="s">
        <v>44</v>
      </c>
      <c r="I82" t="s">
        <v>70</v>
      </c>
      <c r="AL82" t="s">
        <v>177</v>
      </c>
      <c r="AM82" t="str">
        <f t="shared" si="3"/>
        <v>Romantic poetry</v>
      </c>
      <c r="AN82" t="str">
        <f t="shared" si="3"/>
        <v>Keats</v>
      </c>
      <c r="AO82">
        <f t="shared" si="3"/>
        <v>1835</v>
      </c>
      <c r="AP82">
        <f t="shared" si="3"/>
        <v>19</v>
      </c>
      <c r="AQ82">
        <f t="shared" si="3"/>
        <v>1861</v>
      </c>
      <c r="AR82" t="str">
        <f t="shared" si="3"/>
        <v>England</v>
      </c>
    </row>
    <row r="83" spans="1:44" x14ac:dyDescent="0.25">
      <c r="A83" t="str">
        <f>_xlfn.CONCAT(C83,D83)</f>
        <v>Keats1845</v>
      </c>
      <c r="C83" t="s">
        <v>43</v>
      </c>
      <c r="D83">
        <v>1845</v>
      </c>
      <c r="E83">
        <f>INT(D83/100)+1</f>
        <v>19</v>
      </c>
      <c r="F83">
        <v>1871</v>
      </c>
      <c r="G83" t="s">
        <v>8</v>
      </c>
      <c r="H83" t="s">
        <v>44</v>
      </c>
      <c r="I83" t="s">
        <v>42</v>
      </c>
      <c r="AL83" t="s">
        <v>178</v>
      </c>
      <c r="AM83" t="str">
        <f t="shared" si="3"/>
        <v>Romantic poetry</v>
      </c>
      <c r="AN83" t="str">
        <f t="shared" si="3"/>
        <v>Byron</v>
      </c>
      <c r="AO83">
        <f t="shared" si="3"/>
        <v>1838</v>
      </c>
      <c r="AP83">
        <f t="shared" si="3"/>
        <v>19</v>
      </c>
      <c r="AQ83">
        <f t="shared" si="3"/>
        <v>1874</v>
      </c>
      <c r="AR83" t="str">
        <f t="shared" si="3"/>
        <v>England</v>
      </c>
    </row>
    <row r="84" spans="1:44" x14ac:dyDescent="0.25">
      <c r="A84" t="str">
        <f>_xlfn.CONCAT(C84,D84)</f>
        <v>Byron1848</v>
      </c>
      <c r="C84" t="s">
        <v>71</v>
      </c>
      <c r="D84">
        <v>1848</v>
      </c>
      <c r="E84">
        <f>INT(D84/100)+1</f>
        <v>19</v>
      </c>
      <c r="F84">
        <v>1884</v>
      </c>
      <c r="G84" t="s">
        <v>8</v>
      </c>
      <c r="H84" t="s">
        <v>44</v>
      </c>
      <c r="I84" t="s">
        <v>70</v>
      </c>
      <c r="AL84" t="s">
        <v>179</v>
      </c>
      <c r="AM84" t="str">
        <f t="shared" si="3"/>
        <v>Romantic poetry</v>
      </c>
      <c r="AN84" t="str">
        <f t="shared" si="3"/>
        <v>Keats</v>
      </c>
      <c r="AO84">
        <f t="shared" si="3"/>
        <v>1845</v>
      </c>
      <c r="AP84">
        <f t="shared" si="3"/>
        <v>19</v>
      </c>
      <c r="AQ84">
        <f t="shared" si="3"/>
        <v>1871</v>
      </c>
      <c r="AR84" t="str">
        <f t="shared" si="3"/>
        <v>England</v>
      </c>
    </row>
    <row r="85" spans="1:44" x14ac:dyDescent="0.25">
      <c r="A85" t="str">
        <f>_xlfn.CONCAT(C85,D85)</f>
        <v>Keats1855</v>
      </c>
      <c r="C85" t="s">
        <v>43</v>
      </c>
      <c r="D85">
        <v>1855</v>
      </c>
      <c r="E85">
        <f>INT(D85/100)+1</f>
        <v>19</v>
      </c>
      <c r="F85">
        <v>1881</v>
      </c>
      <c r="G85" t="s">
        <v>8</v>
      </c>
      <c r="H85" t="s">
        <v>44</v>
      </c>
      <c r="I85" t="s">
        <v>42</v>
      </c>
      <c r="AL85" t="s">
        <v>180</v>
      </c>
      <c r="AM85" t="str">
        <f t="shared" si="3"/>
        <v>Romantic poetry</v>
      </c>
      <c r="AN85" t="str">
        <f t="shared" si="3"/>
        <v>Byron</v>
      </c>
      <c r="AO85">
        <f t="shared" si="3"/>
        <v>1848</v>
      </c>
      <c r="AP85">
        <f t="shared" si="3"/>
        <v>19</v>
      </c>
      <c r="AQ85">
        <f t="shared" si="3"/>
        <v>1884</v>
      </c>
      <c r="AR85" t="str">
        <f t="shared" si="3"/>
        <v>England</v>
      </c>
    </row>
    <row r="86" spans="1:44" x14ac:dyDescent="0.25">
      <c r="A86" t="str">
        <f>_xlfn.CONCAT(C86,D86)</f>
        <v>Byron1858</v>
      </c>
      <c r="C86" t="s">
        <v>71</v>
      </c>
      <c r="D86">
        <v>1858</v>
      </c>
      <c r="E86">
        <f>INT(D86/100)+1</f>
        <v>19</v>
      </c>
      <c r="F86">
        <v>1894</v>
      </c>
      <c r="G86" t="s">
        <v>8</v>
      </c>
      <c r="H86" t="s">
        <v>44</v>
      </c>
      <c r="I86" t="s">
        <v>70</v>
      </c>
      <c r="AL86" t="s">
        <v>181</v>
      </c>
      <c r="AM86" t="str">
        <f t="shared" si="3"/>
        <v>Romantic poetry</v>
      </c>
      <c r="AN86" t="str">
        <f t="shared" si="3"/>
        <v>Keats</v>
      </c>
      <c r="AO86">
        <f t="shared" si="3"/>
        <v>1855</v>
      </c>
      <c r="AP86">
        <f t="shared" si="3"/>
        <v>19</v>
      </c>
      <c r="AQ86">
        <f t="shared" si="3"/>
        <v>1881</v>
      </c>
      <c r="AR86" t="str">
        <f t="shared" si="3"/>
        <v>England</v>
      </c>
    </row>
    <row r="87" spans="1:44" x14ac:dyDescent="0.25">
      <c r="A87" t="str">
        <f>_xlfn.CONCAT(C87,D87)</f>
        <v>Keats1865</v>
      </c>
      <c r="C87" t="s">
        <v>43</v>
      </c>
      <c r="D87">
        <v>1865</v>
      </c>
      <c r="E87">
        <f>INT(D87/100)+1</f>
        <v>19</v>
      </c>
      <c r="F87">
        <v>1891</v>
      </c>
      <c r="G87" t="s">
        <v>8</v>
      </c>
      <c r="H87" t="s">
        <v>44</v>
      </c>
      <c r="I87" t="s">
        <v>42</v>
      </c>
      <c r="AL87" t="s">
        <v>182</v>
      </c>
      <c r="AM87" t="str">
        <f t="shared" si="3"/>
        <v>Romantic poetry</v>
      </c>
      <c r="AN87" t="str">
        <f t="shared" si="3"/>
        <v>Byron</v>
      </c>
      <c r="AO87">
        <f t="shared" si="3"/>
        <v>1858</v>
      </c>
      <c r="AP87">
        <f t="shared" si="3"/>
        <v>19</v>
      </c>
      <c r="AQ87">
        <f t="shared" si="3"/>
        <v>1894</v>
      </c>
      <c r="AR87" t="str">
        <f t="shared" si="3"/>
        <v>England</v>
      </c>
    </row>
    <row r="88" spans="1:44" x14ac:dyDescent="0.25">
      <c r="A88" t="str">
        <f>_xlfn.CONCAT(C88,D88)</f>
        <v>Wordsworth1800</v>
      </c>
      <c r="C88" t="s">
        <v>7</v>
      </c>
      <c r="D88">
        <v>1800</v>
      </c>
      <c r="E88">
        <f>INT(D88/100)+1</f>
        <v>19</v>
      </c>
      <c r="F88">
        <v>1880</v>
      </c>
      <c r="G88" t="s">
        <v>8</v>
      </c>
      <c r="H88" t="s">
        <v>9</v>
      </c>
      <c r="I88" t="s">
        <v>6</v>
      </c>
      <c r="AL88" t="s">
        <v>183</v>
      </c>
      <c r="AM88" t="str">
        <f t="shared" si="3"/>
        <v>Romantic poetry</v>
      </c>
      <c r="AN88" t="str">
        <f t="shared" si="3"/>
        <v>Keats</v>
      </c>
      <c r="AO88">
        <f t="shared" si="3"/>
        <v>1865</v>
      </c>
      <c r="AP88">
        <f t="shared" si="3"/>
        <v>19</v>
      </c>
      <c r="AQ88">
        <f t="shared" si="3"/>
        <v>1891</v>
      </c>
      <c r="AR88" t="str">
        <f t="shared" si="3"/>
        <v>England</v>
      </c>
    </row>
    <row r="89" spans="1:44" x14ac:dyDescent="0.25">
      <c r="A89" t="str">
        <f>_xlfn.CONCAT(C89,D89)</f>
        <v>Wordsworth1810</v>
      </c>
      <c r="C89" t="s">
        <v>7</v>
      </c>
      <c r="D89">
        <v>1810</v>
      </c>
      <c r="E89">
        <f>INT(D89/100)+1</f>
        <v>19</v>
      </c>
      <c r="F89">
        <v>1890</v>
      </c>
      <c r="G89" t="s">
        <v>8</v>
      </c>
      <c r="H89" t="s">
        <v>9</v>
      </c>
      <c r="I89" t="s">
        <v>6</v>
      </c>
      <c r="AL89" t="s">
        <v>184</v>
      </c>
      <c r="AM89" t="str">
        <f t="shared" si="3"/>
        <v>Romanticism</v>
      </c>
      <c r="AN89" t="str">
        <f t="shared" si="3"/>
        <v>Wordsworth</v>
      </c>
      <c r="AO89">
        <f t="shared" si="3"/>
        <v>1800</v>
      </c>
      <c r="AP89">
        <f t="shared" si="3"/>
        <v>19</v>
      </c>
      <c r="AQ89">
        <f t="shared" si="3"/>
        <v>1880</v>
      </c>
      <c r="AR89" t="str">
        <f t="shared" si="3"/>
        <v>England</v>
      </c>
    </row>
    <row r="90" spans="1:44" x14ac:dyDescent="0.25">
      <c r="A90" t="str">
        <f>_xlfn.CONCAT(C90,D90)</f>
        <v>Wordsworth1820</v>
      </c>
      <c r="C90" t="s">
        <v>7</v>
      </c>
      <c r="D90">
        <v>1820</v>
      </c>
      <c r="E90">
        <f>INT(D90/100)+1</f>
        <v>19</v>
      </c>
      <c r="F90">
        <v>1900</v>
      </c>
      <c r="G90" t="s">
        <v>8</v>
      </c>
      <c r="H90" t="s">
        <v>9</v>
      </c>
      <c r="I90" t="s">
        <v>6</v>
      </c>
      <c r="AL90" t="s">
        <v>185</v>
      </c>
      <c r="AM90" t="str">
        <f t="shared" si="3"/>
        <v>Romanticism</v>
      </c>
      <c r="AN90" t="str">
        <f t="shared" si="3"/>
        <v>Wordsworth</v>
      </c>
      <c r="AO90">
        <f t="shared" si="3"/>
        <v>1810</v>
      </c>
      <c r="AP90">
        <f t="shared" si="3"/>
        <v>19</v>
      </c>
      <c r="AQ90">
        <f t="shared" si="3"/>
        <v>1890</v>
      </c>
      <c r="AR90" t="str">
        <f t="shared" si="3"/>
        <v>England</v>
      </c>
    </row>
    <row r="91" spans="1:44" x14ac:dyDescent="0.25">
      <c r="A91" t="str">
        <f>_xlfn.CONCAT(C91,D91)</f>
        <v>Wordsworth1830</v>
      </c>
      <c r="C91" t="s">
        <v>7</v>
      </c>
      <c r="D91">
        <v>1830</v>
      </c>
      <c r="E91">
        <f>INT(D91/100)+1</f>
        <v>19</v>
      </c>
      <c r="F91">
        <v>1910</v>
      </c>
      <c r="G91" t="s">
        <v>8</v>
      </c>
      <c r="H91" t="s">
        <v>9</v>
      </c>
      <c r="I91" t="s">
        <v>6</v>
      </c>
      <c r="AL91" t="s">
        <v>186</v>
      </c>
      <c r="AM91" t="str">
        <f t="shared" si="3"/>
        <v>Romanticism</v>
      </c>
      <c r="AN91" t="str">
        <f t="shared" si="3"/>
        <v>Wordsworth</v>
      </c>
      <c r="AO91">
        <f t="shared" si="3"/>
        <v>1820</v>
      </c>
      <c r="AP91">
        <f t="shared" si="3"/>
        <v>19</v>
      </c>
      <c r="AQ91">
        <f t="shared" si="3"/>
        <v>1900</v>
      </c>
      <c r="AR91" t="str">
        <f t="shared" si="3"/>
        <v>England</v>
      </c>
    </row>
    <row r="92" spans="1:44" x14ac:dyDescent="0.25">
      <c r="A92" t="str">
        <f>_xlfn.CONCAT(C92,D92)</f>
        <v>Wordsworth1840</v>
      </c>
      <c r="C92" t="s">
        <v>7</v>
      </c>
      <c r="D92">
        <v>1840</v>
      </c>
      <c r="E92">
        <f>INT(D92/100)+1</f>
        <v>19</v>
      </c>
      <c r="F92">
        <v>1920</v>
      </c>
      <c r="G92" t="s">
        <v>8</v>
      </c>
      <c r="H92" t="s">
        <v>9</v>
      </c>
      <c r="I92" t="s">
        <v>6</v>
      </c>
      <c r="AL92" t="s">
        <v>187</v>
      </c>
      <c r="AM92" t="str">
        <f t="shared" si="3"/>
        <v>Romanticism</v>
      </c>
      <c r="AN92" t="str">
        <f t="shared" si="3"/>
        <v>Wordsworth</v>
      </c>
      <c r="AO92">
        <f t="shared" si="3"/>
        <v>1830</v>
      </c>
      <c r="AP92">
        <f t="shared" si="3"/>
        <v>19</v>
      </c>
      <c r="AQ92">
        <f t="shared" si="3"/>
        <v>1910</v>
      </c>
      <c r="AR92" t="str">
        <f t="shared" si="3"/>
        <v>England</v>
      </c>
    </row>
    <row r="93" spans="1:44" x14ac:dyDescent="0.25">
      <c r="A93" t="str">
        <f>_xlfn.CONCAT(C93,D93)</f>
        <v>Goethe1809</v>
      </c>
      <c r="C93" t="s">
        <v>82</v>
      </c>
      <c r="D93">
        <v>1809</v>
      </c>
      <c r="E93">
        <f>INT(D93/100)+1</f>
        <v>19</v>
      </c>
      <c r="F93">
        <v>1892</v>
      </c>
      <c r="G93" t="s">
        <v>83</v>
      </c>
      <c r="H93" t="s">
        <v>84</v>
      </c>
      <c r="I93" t="s">
        <v>81</v>
      </c>
      <c r="AL93" t="s">
        <v>188</v>
      </c>
      <c r="AM93" t="str">
        <f t="shared" si="3"/>
        <v>Romanticism</v>
      </c>
      <c r="AN93" t="str">
        <f t="shared" si="3"/>
        <v>Wordsworth</v>
      </c>
      <c r="AO93">
        <f t="shared" si="3"/>
        <v>1840</v>
      </c>
      <c r="AP93">
        <f t="shared" si="3"/>
        <v>19</v>
      </c>
      <c r="AQ93">
        <f t="shared" si="3"/>
        <v>1920</v>
      </c>
      <c r="AR93" t="str">
        <f t="shared" si="3"/>
        <v>England</v>
      </c>
    </row>
    <row r="94" spans="1:44" x14ac:dyDescent="0.25">
      <c r="A94" t="str">
        <f>_xlfn.CONCAT(C94,D94)</f>
        <v>Goethe1819</v>
      </c>
      <c r="C94" t="s">
        <v>82</v>
      </c>
      <c r="D94">
        <v>1819</v>
      </c>
      <c r="E94">
        <f>INT(D94/100)+1</f>
        <v>19</v>
      </c>
      <c r="F94">
        <v>1902</v>
      </c>
      <c r="G94" t="s">
        <v>83</v>
      </c>
      <c r="H94" t="s">
        <v>84</v>
      </c>
      <c r="I94" t="s">
        <v>81</v>
      </c>
      <c r="AL94" t="s">
        <v>189</v>
      </c>
      <c r="AM94" t="str">
        <f t="shared" si="3"/>
        <v>Sturm und Drang</v>
      </c>
      <c r="AN94" t="str">
        <f t="shared" si="3"/>
        <v>Goethe</v>
      </c>
      <c r="AO94">
        <f t="shared" si="3"/>
        <v>1809</v>
      </c>
      <c r="AP94">
        <f t="shared" si="3"/>
        <v>19</v>
      </c>
      <c r="AQ94">
        <f t="shared" si="3"/>
        <v>1892</v>
      </c>
      <c r="AR94" t="str">
        <f t="shared" si="3"/>
        <v>Germany</v>
      </c>
    </row>
    <row r="95" spans="1:44" x14ac:dyDescent="0.25">
      <c r="A95" t="str">
        <f>_xlfn.CONCAT(C95,D95)</f>
        <v>GarcĂ­a Lorca1898</v>
      </c>
      <c r="C95" t="s">
        <v>86</v>
      </c>
      <c r="D95">
        <v>1898</v>
      </c>
      <c r="E95">
        <f>INT(D95/100)+1</f>
        <v>19</v>
      </c>
      <c r="F95">
        <v>1936</v>
      </c>
      <c r="G95" t="s">
        <v>87</v>
      </c>
      <c r="H95" t="s">
        <v>27</v>
      </c>
      <c r="I95" t="s">
        <v>85</v>
      </c>
      <c r="AL95" t="s">
        <v>190</v>
      </c>
      <c r="AM95" t="str">
        <f t="shared" si="3"/>
        <v>Sturm und Drang</v>
      </c>
      <c r="AN95" t="str">
        <f t="shared" si="3"/>
        <v>Goethe</v>
      </c>
      <c r="AO95">
        <f t="shared" si="3"/>
        <v>1819</v>
      </c>
      <c r="AP95">
        <f t="shared" si="3"/>
        <v>19</v>
      </c>
      <c r="AQ95">
        <f t="shared" si="3"/>
        <v>1902</v>
      </c>
      <c r="AR95" t="str">
        <f t="shared" si="3"/>
        <v>Germany</v>
      </c>
    </row>
    <row r="96" spans="1:44" x14ac:dyDescent="0.25">
      <c r="A96" t="str">
        <f>_xlfn.CONCAT(C96,D96)</f>
        <v>Baudelaire1821</v>
      </c>
      <c r="C96" t="s">
        <v>49</v>
      </c>
      <c r="D96">
        <v>1821</v>
      </c>
      <c r="E96">
        <f>INT(D96/100)+1</f>
        <v>19</v>
      </c>
      <c r="F96">
        <v>1867</v>
      </c>
      <c r="G96" t="s">
        <v>50</v>
      </c>
      <c r="H96" t="s">
        <v>51</v>
      </c>
      <c r="I96" t="s">
        <v>48</v>
      </c>
      <c r="AL96" t="s">
        <v>191</v>
      </c>
      <c r="AM96" t="str">
        <f t="shared" si="3"/>
        <v>Surrealism</v>
      </c>
      <c r="AN96" t="str">
        <f t="shared" si="3"/>
        <v>GarcĂ­a Lorca</v>
      </c>
      <c r="AO96">
        <f t="shared" si="3"/>
        <v>1898</v>
      </c>
      <c r="AP96">
        <f t="shared" si="3"/>
        <v>19</v>
      </c>
      <c r="AQ96">
        <f t="shared" si="3"/>
        <v>1936</v>
      </c>
      <c r="AR96" t="str">
        <f t="shared" si="3"/>
        <v>Spain</v>
      </c>
    </row>
    <row r="97" spans="1:44" x14ac:dyDescent="0.25">
      <c r="A97" t="str">
        <f>_xlfn.CONCAT(C97,D97)</f>
        <v>Baudelaire1831</v>
      </c>
      <c r="C97" t="s">
        <v>49</v>
      </c>
      <c r="D97">
        <v>1831</v>
      </c>
      <c r="E97">
        <f>INT(D97/100)+1</f>
        <v>19</v>
      </c>
      <c r="F97">
        <v>1877</v>
      </c>
      <c r="G97" t="s">
        <v>50</v>
      </c>
      <c r="H97" t="s">
        <v>51</v>
      </c>
      <c r="I97" t="s">
        <v>48</v>
      </c>
      <c r="AL97" t="s">
        <v>192</v>
      </c>
      <c r="AM97" t="str">
        <f t="shared" si="3"/>
        <v>Symbolism</v>
      </c>
      <c r="AN97" t="str">
        <f t="shared" si="3"/>
        <v>Baudelaire</v>
      </c>
      <c r="AO97">
        <f t="shared" si="3"/>
        <v>1821</v>
      </c>
      <c r="AP97">
        <f t="shared" si="3"/>
        <v>19</v>
      </c>
      <c r="AQ97">
        <f t="shared" si="3"/>
        <v>1867</v>
      </c>
      <c r="AR97" t="str">
        <f t="shared" si="3"/>
        <v>France</v>
      </c>
    </row>
    <row r="98" spans="1:44" x14ac:dyDescent="0.25">
      <c r="A98" t="str">
        <f>_xlfn.CONCAT(C98,D98)</f>
        <v>Baudelaire1841</v>
      </c>
      <c r="C98" t="s">
        <v>49</v>
      </c>
      <c r="D98">
        <v>1841</v>
      </c>
      <c r="E98">
        <f>INT(D98/100)+1</f>
        <v>19</v>
      </c>
      <c r="F98">
        <v>1887</v>
      </c>
      <c r="G98" t="s">
        <v>50</v>
      </c>
      <c r="H98" t="s">
        <v>51</v>
      </c>
      <c r="I98" t="s">
        <v>48</v>
      </c>
      <c r="AL98" t="s">
        <v>193</v>
      </c>
      <c r="AM98" t="str">
        <f t="shared" si="3"/>
        <v>Symbolism</v>
      </c>
      <c r="AN98" t="str">
        <f t="shared" si="3"/>
        <v>Baudelaire</v>
      </c>
      <c r="AO98">
        <f t="shared" si="3"/>
        <v>1831</v>
      </c>
      <c r="AP98">
        <f t="shared" si="3"/>
        <v>19</v>
      </c>
      <c r="AQ98">
        <f t="shared" si="3"/>
        <v>1877</v>
      </c>
      <c r="AR98" t="str">
        <f t="shared" si="3"/>
        <v>France</v>
      </c>
    </row>
    <row r="99" spans="1:44" x14ac:dyDescent="0.25">
      <c r="A99" t="str">
        <f>_xlfn.CONCAT(C99,D99)</f>
        <v>Baudelaire1851</v>
      </c>
      <c r="C99" t="s">
        <v>49</v>
      </c>
      <c r="D99">
        <v>1851</v>
      </c>
      <c r="E99">
        <f>INT(D99/100)+1</f>
        <v>19</v>
      </c>
      <c r="F99">
        <v>1897</v>
      </c>
      <c r="G99" t="s">
        <v>50</v>
      </c>
      <c r="H99" t="s">
        <v>51</v>
      </c>
      <c r="I99" t="s">
        <v>48</v>
      </c>
      <c r="AL99" t="s">
        <v>194</v>
      </c>
      <c r="AM99" t="str">
        <f t="shared" si="3"/>
        <v>Symbolism</v>
      </c>
      <c r="AN99" t="str">
        <f t="shared" si="3"/>
        <v>Baudelaire</v>
      </c>
      <c r="AO99">
        <f t="shared" si="3"/>
        <v>1841</v>
      </c>
      <c r="AP99">
        <f t="shared" si="3"/>
        <v>19</v>
      </c>
      <c r="AQ99">
        <f t="shared" si="3"/>
        <v>1887</v>
      </c>
      <c r="AR99" t="str">
        <f t="shared" si="3"/>
        <v>France</v>
      </c>
    </row>
    <row r="100" spans="1:44" x14ac:dyDescent="0.25">
      <c r="A100" t="str">
        <f>_xlfn.CONCAT(C100,D100)</f>
        <v>Rimbaud1854</v>
      </c>
      <c r="C100" t="s">
        <v>80</v>
      </c>
      <c r="D100">
        <v>1854</v>
      </c>
      <c r="E100">
        <f>INT(D100/100)+1</f>
        <v>19</v>
      </c>
      <c r="F100">
        <v>1891</v>
      </c>
      <c r="G100" t="s">
        <v>50</v>
      </c>
      <c r="H100" t="s">
        <v>51</v>
      </c>
      <c r="I100" t="s">
        <v>79</v>
      </c>
      <c r="AL100" t="s">
        <v>195</v>
      </c>
      <c r="AM100" t="str">
        <f t="shared" si="3"/>
        <v>Symbolism</v>
      </c>
      <c r="AN100" t="str">
        <f t="shared" si="3"/>
        <v>Baudelaire</v>
      </c>
      <c r="AO100">
        <f t="shared" si="3"/>
        <v>1851</v>
      </c>
      <c r="AP100">
        <f t="shared" si="3"/>
        <v>19</v>
      </c>
      <c r="AQ100">
        <f t="shared" si="3"/>
        <v>1897</v>
      </c>
      <c r="AR100" t="str">
        <f t="shared" si="3"/>
        <v>France</v>
      </c>
    </row>
    <row r="101" spans="1:44" x14ac:dyDescent="0.25">
      <c r="A101" t="str">
        <f>_xlfn.CONCAT(C101,D101)</f>
        <v>Baudelaire1861</v>
      </c>
      <c r="C101" t="s">
        <v>49</v>
      </c>
      <c r="D101">
        <v>1861</v>
      </c>
      <c r="E101">
        <f>INT(D101/100)+1</f>
        <v>19</v>
      </c>
      <c r="F101">
        <v>1907</v>
      </c>
      <c r="G101" t="s">
        <v>50</v>
      </c>
      <c r="H101" t="s">
        <v>51</v>
      </c>
      <c r="I101" t="s">
        <v>48</v>
      </c>
      <c r="AL101" t="s">
        <v>196</v>
      </c>
      <c r="AM101" t="str">
        <f t="shared" si="3"/>
        <v>Symbolism</v>
      </c>
      <c r="AN101" t="str">
        <f t="shared" si="3"/>
        <v>Rimbaud</v>
      </c>
      <c r="AO101">
        <f t="shared" si="3"/>
        <v>1854</v>
      </c>
      <c r="AP101">
        <f t="shared" si="3"/>
        <v>19</v>
      </c>
      <c r="AQ101">
        <f t="shared" si="3"/>
        <v>1891</v>
      </c>
      <c r="AR101" t="str">
        <f t="shared" si="3"/>
        <v>France</v>
      </c>
    </row>
    <row r="102" spans="1:44" x14ac:dyDescent="0.25">
      <c r="A102" t="str">
        <f>_xlfn.CONCAT(C102,D102)</f>
        <v>Rimbaud1864</v>
      </c>
      <c r="C102" t="s">
        <v>80</v>
      </c>
      <c r="D102">
        <v>1864</v>
      </c>
      <c r="E102">
        <f>INT(D102/100)+1</f>
        <v>19</v>
      </c>
      <c r="F102">
        <v>1901</v>
      </c>
      <c r="G102" t="s">
        <v>50</v>
      </c>
      <c r="H102" t="s">
        <v>51</v>
      </c>
      <c r="I102" t="s">
        <v>79</v>
      </c>
      <c r="AL102" t="s">
        <v>197</v>
      </c>
      <c r="AM102" t="str">
        <f t="shared" si="3"/>
        <v>Symbolism</v>
      </c>
      <c r="AN102" t="str">
        <f t="shared" si="3"/>
        <v>Baudelaire</v>
      </c>
      <c r="AO102">
        <f t="shared" si="3"/>
        <v>1861</v>
      </c>
      <c r="AP102">
        <f t="shared" si="3"/>
        <v>19</v>
      </c>
      <c r="AQ102">
        <f t="shared" si="3"/>
        <v>1907</v>
      </c>
      <c r="AR102" t="str">
        <f t="shared" si="3"/>
        <v>France</v>
      </c>
    </row>
    <row r="103" spans="1:44" x14ac:dyDescent="0.25">
      <c r="A103" t="str">
        <f>_xlfn.CONCAT(C103,D103)</f>
        <v>Baudelaire1871</v>
      </c>
      <c r="C103" t="s">
        <v>49</v>
      </c>
      <c r="D103">
        <v>1871</v>
      </c>
      <c r="E103">
        <f>INT(D103/100)+1</f>
        <v>19</v>
      </c>
      <c r="F103">
        <v>1917</v>
      </c>
      <c r="G103" t="s">
        <v>50</v>
      </c>
      <c r="H103" t="s">
        <v>51</v>
      </c>
      <c r="I103" t="s">
        <v>48</v>
      </c>
      <c r="AL103" t="s">
        <v>198</v>
      </c>
      <c r="AM103" t="str">
        <f t="shared" si="3"/>
        <v>Symbolism</v>
      </c>
      <c r="AN103" t="str">
        <f t="shared" si="3"/>
        <v>Rimbaud</v>
      </c>
      <c r="AO103">
        <f t="shared" si="3"/>
        <v>1864</v>
      </c>
      <c r="AP103">
        <f t="shared" si="3"/>
        <v>19</v>
      </c>
      <c r="AQ103">
        <f t="shared" si="3"/>
        <v>1901</v>
      </c>
      <c r="AR103" t="str">
        <f t="shared" si="3"/>
        <v>France</v>
      </c>
    </row>
    <row r="104" spans="1:44" x14ac:dyDescent="0.25">
      <c r="A104" t="str">
        <f>_xlfn.CONCAT(C104,D104)</f>
        <v>Rimbaud1874</v>
      </c>
      <c r="C104" t="s">
        <v>80</v>
      </c>
      <c r="D104">
        <v>1874</v>
      </c>
      <c r="E104">
        <f>INT(D104/100)+1</f>
        <v>19</v>
      </c>
      <c r="F104">
        <v>1911</v>
      </c>
      <c r="G104" t="s">
        <v>50</v>
      </c>
      <c r="H104" t="s">
        <v>51</v>
      </c>
      <c r="I104" t="s">
        <v>79</v>
      </c>
      <c r="AL104" t="s">
        <v>199</v>
      </c>
      <c r="AM104" t="str">
        <f t="shared" si="3"/>
        <v>Symbolism</v>
      </c>
      <c r="AN104" t="str">
        <f t="shared" si="3"/>
        <v>Baudelaire</v>
      </c>
      <c r="AO104">
        <f t="shared" si="3"/>
        <v>1871</v>
      </c>
      <c r="AP104">
        <f t="shared" si="3"/>
        <v>19</v>
      </c>
      <c r="AQ104">
        <f t="shared" si="3"/>
        <v>1917</v>
      </c>
      <c r="AR104" t="str">
        <f t="shared" si="3"/>
        <v>France</v>
      </c>
    </row>
    <row r="105" spans="1:44" x14ac:dyDescent="0.25">
      <c r="A105" t="str">
        <f>_xlfn.CONCAT(C105,D105)</f>
        <v>Baudelaire1881</v>
      </c>
      <c r="C105" t="s">
        <v>49</v>
      </c>
      <c r="D105">
        <v>1881</v>
      </c>
      <c r="E105">
        <f>INT(D105/100)+1</f>
        <v>19</v>
      </c>
      <c r="F105">
        <v>1927</v>
      </c>
      <c r="G105" t="s">
        <v>50</v>
      </c>
      <c r="H105" t="s">
        <v>51</v>
      </c>
      <c r="I105" t="s">
        <v>48</v>
      </c>
      <c r="AL105" t="s">
        <v>200</v>
      </c>
      <c r="AM105" t="str">
        <f t="shared" si="3"/>
        <v>Symbolism</v>
      </c>
      <c r="AN105" t="str">
        <f t="shared" si="3"/>
        <v>Rimbaud</v>
      </c>
      <c r="AO105">
        <f t="shared" si="3"/>
        <v>1874</v>
      </c>
      <c r="AP105">
        <f t="shared" si="3"/>
        <v>19</v>
      </c>
      <c r="AQ105">
        <f t="shared" si="3"/>
        <v>1911</v>
      </c>
      <c r="AR105" t="str">
        <f t="shared" si="3"/>
        <v>France</v>
      </c>
    </row>
    <row r="106" spans="1:44" x14ac:dyDescent="0.25">
      <c r="A106" t="str">
        <f>_xlfn.CONCAT(C106,D106)</f>
        <v>Rimbaud1884</v>
      </c>
      <c r="C106" t="s">
        <v>80</v>
      </c>
      <c r="D106">
        <v>1884</v>
      </c>
      <c r="E106">
        <f>INT(D106/100)+1</f>
        <v>19</v>
      </c>
      <c r="F106">
        <v>1921</v>
      </c>
      <c r="G106" t="s">
        <v>50</v>
      </c>
      <c r="H106" t="s">
        <v>51</v>
      </c>
      <c r="I106" t="s">
        <v>79</v>
      </c>
      <c r="AL106" t="s">
        <v>201</v>
      </c>
      <c r="AM106" t="str">
        <f t="shared" si="3"/>
        <v>Symbolism</v>
      </c>
      <c r="AN106" t="str">
        <f t="shared" si="3"/>
        <v>Baudelaire</v>
      </c>
      <c r="AO106">
        <f t="shared" si="3"/>
        <v>1881</v>
      </c>
      <c r="AP106">
        <f t="shared" si="3"/>
        <v>19</v>
      </c>
      <c r="AQ106">
        <f t="shared" si="3"/>
        <v>1927</v>
      </c>
      <c r="AR106" t="str">
        <f t="shared" si="3"/>
        <v>France</v>
      </c>
    </row>
    <row r="107" spans="1:44" x14ac:dyDescent="0.25">
      <c r="A107" t="str">
        <f>_xlfn.CONCAT(C107,D107)</f>
        <v>Baudelaire1891</v>
      </c>
      <c r="C107" t="s">
        <v>49</v>
      </c>
      <c r="D107">
        <v>1891</v>
      </c>
      <c r="E107">
        <f>INT(D107/100)+1</f>
        <v>19</v>
      </c>
      <c r="F107">
        <v>1937</v>
      </c>
      <c r="G107" t="s">
        <v>50</v>
      </c>
      <c r="H107" t="s">
        <v>51</v>
      </c>
      <c r="I107" t="s">
        <v>48</v>
      </c>
      <c r="AL107" t="s">
        <v>202</v>
      </c>
      <c r="AM107" t="str">
        <f t="shared" si="3"/>
        <v>Symbolism</v>
      </c>
      <c r="AN107" t="str">
        <f t="shared" si="3"/>
        <v>Rimbaud</v>
      </c>
      <c r="AO107">
        <f t="shared" si="3"/>
        <v>1884</v>
      </c>
      <c r="AP107">
        <f t="shared" si="3"/>
        <v>19</v>
      </c>
      <c r="AQ107">
        <f t="shared" si="3"/>
        <v>1921</v>
      </c>
      <c r="AR107" t="str">
        <f t="shared" si="3"/>
        <v>France</v>
      </c>
    </row>
    <row r="108" spans="1:44" x14ac:dyDescent="0.25">
      <c r="A108" t="str">
        <f>_xlfn.CONCAT(C108,D108)</f>
        <v>Rimbaud1894</v>
      </c>
      <c r="C108" t="s">
        <v>80</v>
      </c>
      <c r="D108">
        <v>1894</v>
      </c>
      <c r="E108">
        <f>INT(D108/100)+1</f>
        <v>19</v>
      </c>
      <c r="F108">
        <v>1931</v>
      </c>
      <c r="G108" t="s">
        <v>50</v>
      </c>
      <c r="H108" t="s">
        <v>51</v>
      </c>
      <c r="I108" t="s">
        <v>79</v>
      </c>
      <c r="AL108" t="s">
        <v>203</v>
      </c>
      <c r="AM108" t="str">
        <f t="shared" si="3"/>
        <v>Symbolism</v>
      </c>
      <c r="AN108" t="str">
        <f t="shared" si="3"/>
        <v>Baudelaire</v>
      </c>
      <c r="AO108">
        <f t="shared" si="3"/>
        <v>1891</v>
      </c>
      <c r="AP108">
        <f t="shared" si="3"/>
        <v>19</v>
      </c>
      <c r="AQ108">
        <f t="shared" si="3"/>
        <v>1937</v>
      </c>
      <c r="AR108" t="str">
        <f t="shared" si="3"/>
        <v>France</v>
      </c>
    </row>
    <row r="109" spans="1:44" x14ac:dyDescent="0.25">
      <c r="A109" t="str">
        <f>_xlfn.CONCAT(C109,D109)</f>
        <v>Whitman1819</v>
      </c>
      <c r="C109" t="s">
        <v>36</v>
      </c>
      <c r="D109">
        <v>1819</v>
      </c>
      <c r="E109">
        <f>INT(D109/100)+1</f>
        <v>19</v>
      </c>
      <c r="F109">
        <v>1892</v>
      </c>
      <c r="G109" t="s">
        <v>12</v>
      </c>
      <c r="H109" t="s">
        <v>37</v>
      </c>
      <c r="I109" t="s">
        <v>35</v>
      </c>
      <c r="AL109" t="s">
        <v>204</v>
      </c>
      <c r="AM109" t="str">
        <f t="shared" si="3"/>
        <v>Symbolism</v>
      </c>
      <c r="AN109" t="str">
        <f t="shared" si="3"/>
        <v>Rimbaud</v>
      </c>
      <c r="AO109">
        <f t="shared" si="3"/>
        <v>1894</v>
      </c>
      <c r="AP109">
        <f t="shared" si="3"/>
        <v>19</v>
      </c>
      <c r="AQ109">
        <f t="shared" si="3"/>
        <v>1931</v>
      </c>
      <c r="AR109" t="str">
        <f t="shared" si="3"/>
        <v>France</v>
      </c>
    </row>
    <row r="110" spans="1:44" x14ac:dyDescent="0.25">
      <c r="A110" t="str">
        <f>_xlfn.CONCAT(C110,D110)</f>
        <v>Whitman1829</v>
      </c>
      <c r="C110" t="s">
        <v>36</v>
      </c>
      <c r="D110">
        <v>1829</v>
      </c>
      <c r="E110">
        <f>INT(D110/100)+1</f>
        <v>19</v>
      </c>
      <c r="F110">
        <v>1902</v>
      </c>
      <c r="G110" t="s">
        <v>12</v>
      </c>
      <c r="H110" t="s">
        <v>37</v>
      </c>
      <c r="I110" t="s">
        <v>35</v>
      </c>
      <c r="AL110" t="s">
        <v>205</v>
      </c>
      <c r="AM110" t="str">
        <f t="shared" si="3"/>
        <v>Transcendentalism</v>
      </c>
      <c r="AN110" t="str">
        <f t="shared" si="3"/>
        <v>Whitman</v>
      </c>
      <c r="AO110">
        <f t="shared" si="3"/>
        <v>1819</v>
      </c>
      <c r="AP110">
        <f t="shared" si="3"/>
        <v>19</v>
      </c>
      <c r="AQ110">
        <f t="shared" si="3"/>
        <v>1892</v>
      </c>
      <c r="AR110" t="str">
        <f t="shared" si="3"/>
        <v>United States</v>
      </c>
    </row>
    <row r="111" spans="1:44" x14ac:dyDescent="0.25">
      <c r="A111" t="str">
        <f>_xlfn.CONCAT(C111,D111)</f>
        <v>Whitman1839</v>
      </c>
      <c r="C111" t="s">
        <v>36</v>
      </c>
      <c r="D111">
        <v>1839</v>
      </c>
      <c r="E111">
        <f>INT(D111/100)+1</f>
        <v>19</v>
      </c>
      <c r="F111">
        <v>1912</v>
      </c>
      <c r="G111" t="s">
        <v>12</v>
      </c>
      <c r="H111" t="s">
        <v>37</v>
      </c>
      <c r="I111" t="s">
        <v>35</v>
      </c>
      <c r="AL111" t="s">
        <v>206</v>
      </c>
      <c r="AM111" t="str">
        <f t="shared" si="3"/>
        <v>Transcendentalism</v>
      </c>
      <c r="AN111" t="str">
        <f t="shared" si="3"/>
        <v>Whitman</v>
      </c>
      <c r="AO111">
        <f t="shared" si="3"/>
        <v>1829</v>
      </c>
      <c r="AP111">
        <f t="shared" si="3"/>
        <v>19</v>
      </c>
      <c r="AQ111">
        <f t="shared" si="3"/>
        <v>1902</v>
      </c>
      <c r="AR111" t="str">
        <f t="shared" si="3"/>
        <v>United States</v>
      </c>
    </row>
    <row r="112" spans="1:44" x14ac:dyDescent="0.25">
      <c r="A112" t="str">
        <f>_xlfn.CONCAT(C112,D112)</f>
        <v>Whitman1849</v>
      </c>
      <c r="C112" t="s">
        <v>36</v>
      </c>
      <c r="D112">
        <v>1849</v>
      </c>
      <c r="E112">
        <f>INT(D112/100)+1</f>
        <v>19</v>
      </c>
      <c r="F112">
        <v>1922</v>
      </c>
      <c r="G112" t="s">
        <v>12</v>
      </c>
      <c r="H112" t="s">
        <v>37</v>
      </c>
      <c r="I112" t="s">
        <v>35</v>
      </c>
      <c r="AL112" t="s">
        <v>207</v>
      </c>
      <c r="AM112" t="str">
        <f t="shared" si="3"/>
        <v>Transcendentalism</v>
      </c>
      <c r="AN112" t="str">
        <f t="shared" si="3"/>
        <v>Whitman</v>
      </c>
      <c r="AO112">
        <f t="shared" si="3"/>
        <v>1839</v>
      </c>
      <c r="AP112">
        <f t="shared" si="3"/>
        <v>19</v>
      </c>
      <c r="AQ112">
        <f t="shared" si="3"/>
        <v>1912</v>
      </c>
      <c r="AR112" t="str">
        <f t="shared" si="3"/>
        <v>United States</v>
      </c>
    </row>
    <row r="113" spans="1:44" x14ac:dyDescent="0.25">
      <c r="A113" t="str">
        <f>_xlfn.CONCAT(C113,D113)</f>
        <v>Whitman1859</v>
      </c>
      <c r="C113" t="s">
        <v>36</v>
      </c>
      <c r="D113">
        <v>1859</v>
      </c>
      <c r="E113">
        <f>INT(D113/100)+1</f>
        <v>19</v>
      </c>
      <c r="F113">
        <v>1932</v>
      </c>
      <c r="G113" t="s">
        <v>12</v>
      </c>
      <c r="H113" t="s">
        <v>37</v>
      </c>
      <c r="I113" t="s">
        <v>35</v>
      </c>
      <c r="AL113" t="s">
        <v>208</v>
      </c>
      <c r="AM113" t="str">
        <f t="shared" si="3"/>
        <v>Transcendentalism</v>
      </c>
      <c r="AN113" t="str">
        <f t="shared" si="3"/>
        <v>Whitman</v>
      </c>
      <c r="AO113">
        <f t="shared" si="3"/>
        <v>1849</v>
      </c>
      <c r="AP113">
        <f t="shared" si="3"/>
        <v>19</v>
      </c>
      <c r="AQ113">
        <f t="shared" si="3"/>
        <v>1922</v>
      </c>
      <c r="AR113" t="str">
        <f t="shared" si="3"/>
        <v>United States</v>
      </c>
    </row>
    <row r="114" spans="1:44" x14ac:dyDescent="0.25">
      <c r="A114" t="str">
        <f>_xlfn.CONCAT(C114,D114)</f>
        <v>Whitman1869</v>
      </c>
      <c r="C114" t="s">
        <v>36</v>
      </c>
      <c r="D114">
        <v>1869</v>
      </c>
      <c r="E114">
        <f>INT(D114/100)+1</f>
        <v>19</v>
      </c>
      <c r="F114">
        <v>1942</v>
      </c>
      <c r="G114" t="s">
        <v>12</v>
      </c>
      <c r="H114" t="s">
        <v>37</v>
      </c>
      <c r="I114" t="s">
        <v>35</v>
      </c>
      <c r="AL114" t="s">
        <v>209</v>
      </c>
      <c r="AM114" t="str">
        <f t="shared" ref="AM114:AR177" si="4">VLOOKUP($AL114,$A$2:$I$209,AM$2,FALSE)</f>
        <v>Transcendentalism</v>
      </c>
      <c r="AN114" t="str">
        <f t="shared" si="4"/>
        <v>Whitman</v>
      </c>
      <c r="AO114">
        <f t="shared" si="4"/>
        <v>1859</v>
      </c>
      <c r="AP114">
        <f t="shared" si="4"/>
        <v>19</v>
      </c>
      <c r="AQ114">
        <f t="shared" si="4"/>
        <v>1932</v>
      </c>
      <c r="AR114" t="str">
        <f t="shared" si="4"/>
        <v>United States</v>
      </c>
    </row>
    <row r="115" spans="1:44" x14ac:dyDescent="0.25">
      <c r="A115" t="str">
        <f>_xlfn.CONCAT(C115,D115)</f>
        <v>Whitman1879</v>
      </c>
      <c r="C115" t="s">
        <v>36</v>
      </c>
      <c r="D115">
        <v>1879</v>
      </c>
      <c r="E115">
        <f>INT(D115/100)+1</f>
        <v>19</v>
      </c>
      <c r="F115">
        <v>1952</v>
      </c>
      <c r="G115" t="s">
        <v>12</v>
      </c>
      <c r="H115" t="s">
        <v>37</v>
      </c>
      <c r="I115" t="s">
        <v>35</v>
      </c>
      <c r="AL115" t="s">
        <v>210</v>
      </c>
      <c r="AM115" t="str">
        <f t="shared" si="4"/>
        <v>Transcendentalism</v>
      </c>
      <c r="AN115" t="str">
        <f t="shared" si="4"/>
        <v>Whitman</v>
      </c>
      <c r="AO115">
        <f t="shared" si="4"/>
        <v>1869</v>
      </c>
      <c r="AP115">
        <f t="shared" si="4"/>
        <v>19</v>
      </c>
      <c r="AQ115">
        <f t="shared" si="4"/>
        <v>1942</v>
      </c>
      <c r="AR115" t="str">
        <f t="shared" si="4"/>
        <v>United States</v>
      </c>
    </row>
    <row r="116" spans="1:44" x14ac:dyDescent="0.25">
      <c r="A116" t="str">
        <f>_xlfn.CONCAT(C116,D116)</f>
        <v>Whitman1889</v>
      </c>
      <c r="C116" t="s">
        <v>36</v>
      </c>
      <c r="D116">
        <v>1889</v>
      </c>
      <c r="E116">
        <f>INT(D116/100)+1</f>
        <v>19</v>
      </c>
      <c r="F116">
        <v>1962</v>
      </c>
      <c r="G116" t="s">
        <v>12</v>
      </c>
      <c r="H116" t="s">
        <v>37</v>
      </c>
      <c r="I116" t="s">
        <v>35</v>
      </c>
      <c r="AL116" t="s">
        <v>211</v>
      </c>
      <c r="AM116" t="str">
        <f t="shared" si="4"/>
        <v>Transcendentalism</v>
      </c>
      <c r="AN116" t="str">
        <f t="shared" si="4"/>
        <v>Whitman</v>
      </c>
      <c r="AO116">
        <f t="shared" si="4"/>
        <v>1879</v>
      </c>
      <c r="AP116">
        <f t="shared" si="4"/>
        <v>19</v>
      </c>
      <c r="AQ116">
        <f t="shared" si="4"/>
        <v>1952</v>
      </c>
      <c r="AR116" t="str">
        <f t="shared" si="4"/>
        <v>United States</v>
      </c>
    </row>
    <row r="117" spans="1:44" x14ac:dyDescent="0.25">
      <c r="A117" t="str">
        <f>_xlfn.CONCAT(C117,D117)</f>
        <v>Barrett Browning1806</v>
      </c>
      <c r="C117" t="s">
        <v>46</v>
      </c>
      <c r="D117">
        <v>1806</v>
      </c>
      <c r="E117">
        <f>INT(D117/100)+1</f>
        <v>19</v>
      </c>
      <c r="F117">
        <v>1861</v>
      </c>
      <c r="G117" t="s">
        <v>8</v>
      </c>
      <c r="H117" t="s">
        <v>47</v>
      </c>
      <c r="I117" t="s">
        <v>45</v>
      </c>
      <c r="AL117" t="s">
        <v>212</v>
      </c>
      <c r="AM117" t="str">
        <f t="shared" si="4"/>
        <v>Transcendentalism</v>
      </c>
      <c r="AN117" t="str">
        <f t="shared" si="4"/>
        <v>Whitman</v>
      </c>
      <c r="AO117">
        <f t="shared" si="4"/>
        <v>1889</v>
      </c>
      <c r="AP117">
        <f t="shared" si="4"/>
        <v>19</v>
      </c>
      <c r="AQ117">
        <f t="shared" si="4"/>
        <v>1962</v>
      </c>
      <c r="AR117" t="str">
        <f t="shared" si="4"/>
        <v>United States</v>
      </c>
    </row>
    <row r="118" spans="1:44" x14ac:dyDescent="0.25">
      <c r="A118" t="str">
        <f>_xlfn.CONCAT(C118,D118)</f>
        <v>Barrett Browning1816</v>
      </c>
      <c r="C118" t="s">
        <v>46</v>
      </c>
      <c r="D118">
        <v>1816</v>
      </c>
      <c r="E118">
        <f>INT(D118/100)+1</f>
        <v>19</v>
      </c>
      <c r="F118">
        <v>1871</v>
      </c>
      <c r="G118" t="s">
        <v>8</v>
      </c>
      <c r="H118" t="s">
        <v>47</v>
      </c>
      <c r="I118" t="s">
        <v>45</v>
      </c>
      <c r="AL118" t="s">
        <v>213</v>
      </c>
      <c r="AM118" t="str">
        <f t="shared" si="4"/>
        <v>Victorian poetry</v>
      </c>
      <c r="AN118" t="str">
        <f t="shared" si="4"/>
        <v>Barrett Browning</v>
      </c>
      <c r="AO118">
        <f t="shared" si="4"/>
        <v>1806</v>
      </c>
      <c r="AP118">
        <f t="shared" si="4"/>
        <v>19</v>
      </c>
      <c r="AQ118">
        <f t="shared" si="4"/>
        <v>1861</v>
      </c>
      <c r="AR118" t="str">
        <f t="shared" si="4"/>
        <v>England</v>
      </c>
    </row>
    <row r="119" spans="1:44" x14ac:dyDescent="0.25">
      <c r="A119" t="str">
        <f>_xlfn.CONCAT(C119,D119)</f>
        <v>Barrett Browning1826</v>
      </c>
      <c r="C119" t="s">
        <v>46</v>
      </c>
      <c r="D119">
        <v>1826</v>
      </c>
      <c r="E119">
        <f>INT(D119/100)+1</f>
        <v>19</v>
      </c>
      <c r="F119">
        <v>1881</v>
      </c>
      <c r="G119" t="s">
        <v>8</v>
      </c>
      <c r="H119" t="s">
        <v>47</v>
      </c>
      <c r="I119" t="s">
        <v>45</v>
      </c>
      <c r="AL119" t="s">
        <v>214</v>
      </c>
      <c r="AM119" t="str">
        <f t="shared" si="4"/>
        <v>Victorian poetry</v>
      </c>
      <c r="AN119" t="str">
        <f t="shared" si="4"/>
        <v>Barrett Browning</v>
      </c>
      <c r="AO119">
        <f t="shared" si="4"/>
        <v>1816</v>
      </c>
      <c r="AP119">
        <f t="shared" si="4"/>
        <v>19</v>
      </c>
      <c r="AQ119">
        <f t="shared" si="4"/>
        <v>1871</v>
      </c>
      <c r="AR119" t="str">
        <f t="shared" si="4"/>
        <v>England</v>
      </c>
    </row>
    <row r="120" spans="1:44" x14ac:dyDescent="0.25">
      <c r="A120" t="str">
        <f>_xlfn.CONCAT(C120,D120)</f>
        <v>Barrett Browning1836</v>
      </c>
      <c r="C120" t="s">
        <v>46</v>
      </c>
      <c r="D120">
        <v>1836</v>
      </c>
      <c r="E120">
        <f>INT(D120/100)+1</f>
        <v>19</v>
      </c>
      <c r="F120">
        <v>1891</v>
      </c>
      <c r="G120" t="s">
        <v>8</v>
      </c>
      <c r="H120" t="s">
        <v>47</v>
      </c>
      <c r="I120" t="s">
        <v>45</v>
      </c>
      <c r="AL120" t="s">
        <v>215</v>
      </c>
      <c r="AM120" t="str">
        <f t="shared" si="4"/>
        <v>Victorian poetry</v>
      </c>
      <c r="AN120" t="str">
        <f t="shared" si="4"/>
        <v>Barrett Browning</v>
      </c>
      <c r="AO120">
        <f t="shared" si="4"/>
        <v>1826</v>
      </c>
      <c r="AP120">
        <f t="shared" si="4"/>
        <v>19</v>
      </c>
      <c r="AQ120">
        <f t="shared" si="4"/>
        <v>1881</v>
      </c>
      <c r="AR120" t="str">
        <f t="shared" si="4"/>
        <v>England</v>
      </c>
    </row>
    <row r="121" spans="1:44" x14ac:dyDescent="0.25">
      <c r="A121" t="str">
        <f>_xlfn.CONCAT(C121,D121)</f>
        <v>Barrett Browning1846</v>
      </c>
      <c r="C121" t="s">
        <v>46</v>
      </c>
      <c r="D121">
        <v>1846</v>
      </c>
      <c r="E121">
        <f>INT(D121/100)+1</f>
        <v>19</v>
      </c>
      <c r="F121">
        <v>1901</v>
      </c>
      <c r="G121" t="s">
        <v>8</v>
      </c>
      <c r="H121" t="s">
        <v>47</v>
      </c>
      <c r="I121" t="s">
        <v>45</v>
      </c>
      <c r="AL121" t="s">
        <v>216</v>
      </c>
      <c r="AM121" t="str">
        <f t="shared" si="4"/>
        <v>Victorian poetry</v>
      </c>
      <c r="AN121" t="str">
        <f t="shared" si="4"/>
        <v>Barrett Browning</v>
      </c>
      <c r="AO121">
        <f t="shared" si="4"/>
        <v>1836</v>
      </c>
      <c r="AP121">
        <f t="shared" si="4"/>
        <v>19</v>
      </c>
      <c r="AQ121">
        <f t="shared" si="4"/>
        <v>1891</v>
      </c>
      <c r="AR121" t="str">
        <f t="shared" si="4"/>
        <v>England</v>
      </c>
    </row>
    <row r="122" spans="1:44" x14ac:dyDescent="0.25">
      <c r="A122" t="str">
        <f>_xlfn.CONCAT(C122,D122)</f>
        <v>Barrett Browning1856</v>
      </c>
      <c r="C122" t="s">
        <v>46</v>
      </c>
      <c r="D122">
        <v>1856</v>
      </c>
      <c r="E122">
        <f>INT(D122/100)+1</f>
        <v>19</v>
      </c>
      <c r="F122">
        <v>1911</v>
      </c>
      <c r="G122" t="s">
        <v>8</v>
      </c>
      <c r="H122" t="s">
        <v>47</v>
      </c>
      <c r="I122" t="s">
        <v>45</v>
      </c>
      <c r="AL122" t="s">
        <v>217</v>
      </c>
      <c r="AM122" t="str">
        <f t="shared" si="4"/>
        <v>Victorian poetry</v>
      </c>
      <c r="AN122" t="str">
        <f t="shared" si="4"/>
        <v>Barrett Browning</v>
      </c>
      <c r="AO122">
        <f t="shared" si="4"/>
        <v>1846</v>
      </c>
      <c r="AP122">
        <f t="shared" si="4"/>
        <v>19</v>
      </c>
      <c r="AQ122">
        <f t="shared" si="4"/>
        <v>1901</v>
      </c>
      <c r="AR122" t="str">
        <f t="shared" si="4"/>
        <v>England</v>
      </c>
    </row>
    <row r="123" spans="1:44" x14ac:dyDescent="0.25">
      <c r="A123" t="str">
        <f>_xlfn.CONCAT(C123,D123)</f>
        <v>Barrett Browning1866</v>
      </c>
      <c r="C123" t="s">
        <v>46</v>
      </c>
      <c r="D123">
        <v>1866</v>
      </c>
      <c r="E123">
        <f>INT(D123/100)+1</f>
        <v>19</v>
      </c>
      <c r="F123">
        <v>1921</v>
      </c>
      <c r="G123" t="s">
        <v>8</v>
      </c>
      <c r="H123" t="s">
        <v>47</v>
      </c>
      <c r="I123" t="s">
        <v>45</v>
      </c>
      <c r="AL123" t="s">
        <v>218</v>
      </c>
      <c r="AM123" t="str">
        <f t="shared" si="4"/>
        <v>Victorian poetry</v>
      </c>
      <c r="AN123" t="str">
        <f t="shared" si="4"/>
        <v>Barrett Browning</v>
      </c>
      <c r="AO123">
        <f t="shared" si="4"/>
        <v>1856</v>
      </c>
      <c r="AP123">
        <f t="shared" si="4"/>
        <v>19</v>
      </c>
      <c r="AQ123">
        <f t="shared" si="4"/>
        <v>1911</v>
      </c>
      <c r="AR123" t="str">
        <f t="shared" si="4"/>
        <v>England</v>
      </c>
    </row>
    <row r="124" spans="1:44" x14ac:dyDescent="0.25">
      <c r="A124" t="str">
        <f>_xlfn.CONCAT(C124,D124)</f>
        <v>Barrett Browning1876</v>
      </c>
      <c r="C124" t="s">
        <v>46</v>
      </c>
      <c r="D124">
        <v>1876</v>
      </c>
      <c r="E124">
        <f>INT(D124/100)+1</f>
        <v>19</v>
      </c>
      <c r="F124">
        <v>1931</v>
      </c>
      <c r="G124" t="s">
        <v>8</v>
      </c>
      <c r="H124" t="s">
        <v>47</v>
      </c>
      <c r="I124" t="s">
        <v>45</v>
      </c>
      <c r="AL124" t="s">
        <v>219</v>
      </c>
      <c r="AM124" t="str">
        <f t="shared" si="4"/>
        <v>Victorian poetry</v>
      </c>
      <c r="AN124" t="str">
        <f t="shared" si="4"/>
        <v>Barrett Browning</v>
      </c>
      <c r="AO124">
        <f t="shared" si="4"/>
        <v>1866</v>
      </c>
      <c r="AP124">
        <f t="shared" si="4"/>
        <v>19</v>
      </c>
      <c r="AQ124">
        <f t="shared" si="4"/>
        <v>1921</v>
      </c>
      <c r="AR124" t="str">
        <f t="shared" si="4"/>
        <v>England</v>
      </c>
    </row>
    <row r="125" spans="1:44" x14ac:dyDescent="0.25">
      <c r="A125" t="str">
        <f>_xlfn.CONCAT(C125,D125)</f>
        <v>Wilde1904</v>
      </c>
      <c r="C125" t="s">
        <v>73</v>
      </c>
      <c r="D125">
        <v>1904</v>
      </c>
      <c r="E125">
        <f>INT(D125/100)+1</f>
        <v>20</v>
      </c>
      <c r="F125">
        <v>1950</v>
      </c>
      <c r="G125" t="s">
        <v>74</v>
      </c>
      <c r="H125" t="s">
        <v>75</v>
      </c>
      <c r="I125" t="s">
        <v>72</v>
      </c>
      <c r="AL125" t="s">
        <v>220</v>
      </c>
      <c r="AM125" t="str">
        <f t="shared" si="4"/>
        <v>Victorian poetry</v>
      </c>
      <c r="AN125" t="str">
        <f t="shared" si="4"/>
        <v>Barrett Browning</v>
      </c>
      <c r="AO125">
        <f t="shared" si="4"/>
        <v>1876</v>
      </c>
      <c r="AP125">
        <f t="shared" si="4"/>
        <v>19</v>
      </c>
      <c r="AQ125">
        <f t="shared" si="4"/>
        <v>1931</v>
      </c>
      <c r="AR125" t="str">
        <f t="shared" si="4"/>
        <v>England</v>
      </c>
    </row>
    <row r="126" spans="1:44" x14ac:dyDescent="0.25">
      <c r="A126" t="str">
        <f>_xlfn.CONCAT(C126,D126)</f>
        <v>Wilde1914</v>
      </c>
      <c r="C126" t="s">
        <v>73</v>
      </c>
      <c r="D126">
        <v>1914</v>
      </c>
      <c r="E126">
        <f>INT(D126/100)+1</f>
        <v>20</v>
      </c>
      <c r="F126">
        <v>1960</v>
      </c>
      <c r="G126" t="s">
        <v>74</v>
      </c>
      <c r="H126" t="s">
        <v>75</v>
      </c>
      <c r="I126" t="s">
        <v>72</v>
      </c>
      <c r="AL126" t="s">
        <v>221</v>
      </c>
      <c r="AM126" t="str">
        <f t="shared" si="4"/>
        <v>Aestheticism</v>
      </c>
      <c r="AN126" t="str">
        <f t="shared" si="4"/>
        <v>Wilde</v>
      </c>
      <c r="AO126">
        <f t="shared" si="4"/>
        <v>1904</v>
      </c>
      <c r="AP126">
        <f t="shared" si="4"/>
        <v>20</v>
      </c>
      <c r="AQ126">
        <f t="shared" si="4"/>
        <v>1950</v>
      </c>
      <c r="AR126" t="str">
        <f t="shared" si="4"/>
        <v>Ireland</v>
      </c>
    </row>
    <row r="127" spans="1:44" x14ac:dyDescent="0.25">
      <c r="A127" t="str">
        <f>_xlfn.CONCAT(C127,D127)</f>
        <v>Wilde1924</v>
      </c>
      <c r="C127" t="s">
        <v>73</v>
      </c>
      <c r="D127">
        <v>1924</v>
      </c>
      <c r="E127">
        <f>INT(D127/100)+1</f>
        <v>20</v>
      </c>
      <c r="F127">
        <v>1970</v>
      </c>
      <c r="G127" t="s">
        <v>74</v>
      </c>
      <c r="H127" t="s">
        <v>75</v>
      </c>
      <c r="I127" t="s">
        <v>72</v>
      </c>
      <c r="AL127" t="s">
        <v>222</v>
      </c>
      <c r="AM127" t="str">
        <f t="shared" si="4"/>
        <v>Aestheticism</v>
      </c>
      <c r="AN127" t="str">
        <f t="shared" si="4"/>
        <v>Wilde</v>
      </c>
      <c r="AO127">
        <f t="shared" si="4"/>
        <v>1914</v>
      </c>
      <c r="AP127">
        <f t="shared" si="4"/>
        <v>20</v>
      </c>
      <c r="AQ127">
        <f t="shared" si="4"/>
        <v>1960</v>
      </c>
      <c r="AR127" t="str">
        <f t="shared" si="4"/>
        <v>Ireland</v>
      </c>
    </row>
    <row r="128" spans="1:44" x14ac:dyDescent="0.25">
      <c r="A128" t="str">
        <f>_xlfn.CONCAT(C128,D128)</f>
        <v>Tagore1901</v>
      </c>
      <c r="C128" t="s">
        <v>32</v>
      </c>
      <c r="D128">
        <v>1901</v>
      </c>
      <c r="E128">
        <f>INT(D128/100)+1</f>
        <v>20</v>
      </c>
      <c r="F128">
        <v>1981</v>
      </c>
      <c r="G128" t="s">
        <v>33</v>
      </c>
      <c r="H128" t="s">
        <v>34</v>
      </c>
      <c r="I128" t="s">
        <v>31</v>
      </c>
      <c r="AL128" t="s">
        <v>223</v>
      </c>
      <c r="AM128" t="str">
        <f t="shared" si="4"/>
        <v>Aestheticism</v>
      </c>
      <c r="AN128" t="str">
        <f t="shared" si="4"/>
        <v>Wilde</v>
      </c>
      <c r="AO128">
        <f t="shared" si="4"/>
        <v>1924</v>
      </c>
      <c r="AP128">
        <f t="shared" si="4"/>
        <v>20</v>
      </c>
      <c r="AQ128">
        <f t="shared" si="4"/>
        <v>1970</v>
      </c>
      <c r="AR128" t="str">
        <f t="shared" si="4"/>
        <v>Ireland</v>
      </c>
    </row>
    <row r="129" spans="1:44" x14ac:dyDescent="0.25">
      <c r="A129" t="str">
        <f>_xlfn.CONCAT(C129,D129)</f>
        <v>Tagore1911</v>
      </c>
      <c r="C129" t="s">
        <v>32</v>
      </c>
      <c r="D129">
        <v>1911</v>
      </c>
      <c r="E129">
        <f>INT(D129/100)+1</f>
        <v>20</v>
      </c>
      <c r="F129">
        <v>1991</v>
      </c>
      <c r="G129" t="s">
        <v>33</v>
      </c>
      <c r="H129" t="s">
        <v>34</v>
      </c>
      <c r="I129" t="s">
        <v>31</v>
      </c>
      <c r="AL129" t="s">
        <v>224</v>
      </c>
      <c r="AM129" t="str">
        <f t="shared" si="4"/>
        <v>Bengali renaissance</v>
      </c>
      <c r="AN129" t="str">
        <f t="shared" si="4"/>
        <v>Tagore</v>
      </c>
      <c r="AO129">
        <f t="shared" si="4"/>
        <v>1901</v>
      </c>
      <c r="AP129">
        <f t="shared" si="4"/>
        <v>20</v>
      </c>
      <c r="AQ129">
        <f t="shared" si="4"/>
        <v>1981</v>
      </c>
      <c r="AR129" t="str">
        <f t="shared" si="4"/>
        <v>India</v>
      </c>
    </row>
    <row r="130" spans="1:44" x14ac:dyDescent="0.25">
      <c r="A130" t="str">
        <f>_xlfn.CONCAT(C130,D130)</f>
        <v>Tagore1921</v>
      </c>
      <c r="C130" t="s">
        <v>32</v>
      </c>
      <c r="D130">
        <v>1921</v>
      </c>
      <c r="E130">
        <f>INT(D130/100)+1</f>
        <v>20</v>
      </c>
      <c r="F130">
        <v>2001</v>
      </c>
      <c r="G130" t="s">
        <v>33</v>
      </c>
      <c r="H130" t="s">
        <v>34</v>
      </c>
      <c r="I130" t="s">
        <v>31</v>
      </c>
      <c r="AL130" t="s">
        <v>225</v>
      </c>
      <c r="AM130" t="str">
        <f t="shared" si="4"/>
        <v>Bengali renaissance</v>
      </c>
      <c r="AN130" t="str">
        <f t="shared" si="4"/>
        <v>Tagore</v>
      </c>
      <c r="AO130">
        <f t="shared" si="4"/>
        <v>1911</v>
      </c>
      <c r="AP130">
        <f t="shared" si="4"/>
        <v>20</v>
      </c>
      <c r="AQ130">
        <f t="shared" si="4"/>
        <v>1991</v>
      </c>
      <c r="AR130" t="str">
        <f t="shared" si="4"/>
        <v>India</v>
      </c>
    </row>
    <row r="131" spans="1:44" x14ac:dyDescent="0.25">
      <c r="A131" t="str">
        <f>_xlfn.CONCAT(C131,D131)</f>
        <v>Tagore1931</v>
      </c>
      <c r="C131" t="s">
        <v>32</v>
      </c>
      <c r="D131">
        <v>1931</v>
      </c>
      <c r="E131">
        <f>INT(D131/100)+1</f>
        <v>20</v>
      </c>
      <c r="F131">
        <v>2011</v>
      </c>
      <c r="G131" t="s">
        <v>33</v>
      </c>
      <c r="H131" t="s">
        <v>34</v>
      </c>
      <c r="I131" t="s">
        <v>31</v>
      </c>
      <c r="AL131" t="s">
        <v>226</v>
      </c>
      <c r="AM131" t="str">
        <f t="shared" si="4"/>
        <v>Bengali renaissance</v>
      </c>
      <c r="AN131" t="str">
        <f t="shared" si="4"/>
        <v>Tagore</v>
      </c>
      <c r="AO131">
        <f t="shared" si="4"/>
        <v>1921</v>
      </c>
      <c r="AP131">
        <f t="shared" si="4"/>
        <v>20</v>
      </c>
      <c r="AQ131">
        <f t="shared" si="4"/>
        <v>2001</v>
      </c>
      <c r="AR131" t="str">
        <f t="shared" si="4"/>
        <v>India</v>
      </c>
    </row>
    <row r="132" spans="1:44" x14ac:dyDescent="0.25">
      <c r="A132" t="str">
        <f>_xlfn.CONCAT(C132,D132)</f>
        <v>Angelou1928</v>
      </c>
      <c r="C132" t="s">
        <v>29</v>
      </c>
      <c r="D132">
        <v>1928</v>
      </c>
      <c r="E132">
        <f>INT(D132/100)+1</f>
        <v>20</v>
      </c>
      <c r="F132">
        <v>2014</v>
      </c>
      <c r="G132" t="s">
        <v>12</v>
      </c>
      <c r="H132" t="s">
        <v>30</v>
      </c>
      <c r="I132" t="s">
        <v>28</v>
      </c>
      <c r="AL132" t="s">
        <v>227</v>
      </c>
      <c r="AM132" t="str">
        <f t="shared" si="4"/>
        <v>Bengali renaissance</v>
      </c>
      <c r="AN132" t="str">
        <f t="shared" si="4"/>
        <v>Tagore</v>
      </c>
      <c r="AO132">
        <f t="shared" si="4"/>
        <v>1931</v>
      </c>
      <c r="AP132">
        <f t="shared" si="4"/>
        <v>20</v>
      </c>
      <c r="AQ132">
        <f t="shared" si="4"/>
        <v>2011</v>
      </c>
      <c r="AR132" t="str">
        <f t="shared" si="4"/>
        <v>India</v>
      </c>
    </row>
    <row r="133" spans="1:44" x14ac:dyDescent="0.25">
      <c r="A133" t="str">
        <f>_xlfn.CONCAT(C133,D133)</f>
        <v>Angelou1938</v>
      </c>
      <c r="C133" t="s">
        <v>29</v>
      </c>
      <c r="D133">
        <v>1938</v>
      </c>
      <c r="E133">
        <f>INT(D133/100)+1</f>
        <v>20</v>
      </c>
      <c r="F133">
        <v>2024</v>
      </c>
      <c r="G133" t="s">
        <v>12</v>
      </c>
      <c r="H133" t="s">
        <v>30</v>
      </c>
      <c r="I133" t="s">
        <v>28</v>
      </c>
      <c r="AL133" t="s">
        <v>228</v>
      </c>
      <c r="AM133" t="str">
        <f t="shared" si="4"/>
        <v>Civil Rights Movement poetry</v>
      </c>
      <c r="AN133" t="str">
        <f t="shared" si="4"/>
        <v>Angelou</v>
      </c>
      <c r="AO133">
        <f t="shared" si="4"/>
        <v>1928</v>
      </c>
      <c r="AP133">
        <f t="shared" si="4"/>
        <v>20</v>
      </c>
      <c r="AQ133">
        <f t="shared" si="4"/>
        <v>2014</v>
      </c>
      <c r="AR133" t="str">
        <f t="shared" si="4"/>
        <v>United States</v>
      </c>
    </row>
    <row r="134" spans="1:44" x14ac:dyDescent="0.25">
      <c r="A134" t="str">
        <f>_xlfn.CONCAT(C134,D134)</f>
        <v>Angelou1948</v>
      </c>
      <c r="C134" t="s">
        <v>29</v>
      </c>
      <c r="D134">
        <v>1948</v>
      </c>
      <c r="E134">
        <f>INT(D134/100)+1</f>
        <v>20</v>
      </c>
      <c r="F134">
        <v>2034</v>
      </c>
      <c r="G134" t="s">
        <v>12</v>
      </c>
      <c r="H134" t="s">
        <v>30</v>
      </c>
      <c r="I134" t="s">
        <v>28</v>
      </c>
      <c r="AL134" t="s">
        <v>229</v>
      </c>
      <c r="AM134" t="str">
        <f t="shared" si="4"/>
        <v>Civil Rights Movement poetry</v>
      </c>
      <c r="AN134" t="str">
        <f t="shared" si="4"/>
        <v>Angelou</v>
      </c>
      <c r="AO134">
        <f t="shared" si="4"/>
        <v>1938</v>
      </c>
      <c r="AP134">
        <f t="shared" si="4"/>
        <v>20</v>
      </c>
      <c r="AQ134">
        <f t="shared" si="4"/>
        <v>2024</v>
      </c>
      <c r="AR134" t="str">
        <f t="shared" si="4"/>
        <v>United States</v>
      </c>
    </row>
    <row r="135" spans="1:44" x14ac:dyDescent="0.25">
      <c r="A135" t="str">
        <f>_xlfn.CONCAT(C135,D135)</f>
        <v>Angelou1958</v>
      </c>
      <c r="C135" t="s">
        <v>29</v>
      </c>
      <c r="D135">
        <v>1958</v>
      </c>
      <c r="E135">
        <f>INT(D135/100)+1</f>
        <v>20</v>
      </c>
      <c r="F135">
        <v>2044</v>
      </c>
      <c r="G135" t="s">
        <v>12</v>
      </c>
      <c r="H135" t="s">
        <v>30</v>
      </c>
      <c r="I135" t="s">
        <v>28</v>
      </c>
      <c r="AL135" t="s">
        <v>230</v>
      </c>
      <c r="AM135" t="str">
        <f t="shared" si="4"/>
        <v>Civil Rights Movement poetry</v>
      </c>
      <c r="AN135" t="str">
        <f t="shared" si="4"/>
        <v>Angelou</v>
      </c>
      <c r="AO135">
        <f t="shared" si="4"/>
        <v>1948</v>
      </c>
      <c r="AP135">
        <f t="shared" si="4"/>
        <v>20</v>
      </c>
      <c r="AQ135">
        <f t="shared" si="4"/>
        <v>2034</v>
      </c>
      <c r="AR135" t="str">
        <f t="shared" si="4"/>
        <v>United States</v>
      </c>
    </row>
    <row r="136" spans="1:44" x14ac:dyDescent="0.25">
      <c r="A136" t="str">
        <f>_xlfn.CONCAT(C136,D136)</f>
        <v>Angelou1968</v>
      </c>
      <c r="C136" t="s">
        <v>29</v>
      </c>
      <c r="D136">
        <v>1968</v>
      </c>
      <c r="E136">
        <f>INT(D136/100)+1</f>
        <v>20</v>
      </c>
      <c r="F136">
        <v>2054</v>
      </c>
      <c r="G136" t="s">
        <v>12</v>
      </c>
      <c r="H136" t="s">
        <v>30</v>
      </c>
      <c r="I136" t="s">
        <v>28</v>
      </c>
      <c r="AL136" t="s">
        <v>231</v>
      </c>
      <c r="AM136" t="str">
        <f t="shared" si="4"/>
        <v>Civil Rights Movement poetry</v>
      </c>
      <c r="AN136" t="str">
        <f t="shared" si="4"/>
        <v>Angelou</v>
      </c>
      <c r="AO136">
        <f t="shared" si="4"/>
        <v>1958</v>
      </c>
      <c r="AP136">
        <f t="shared" si="4"/>
        <v>20</v>
      </c>
      <c r="AQ136">
        <f t="shared" si="4"/>
        <v>2044</v>
      </c>
      <c r="AR136" t="str">
        <f t="shared" si="4"/>
        <v>United States</v>
      </c>
    </row>
    <row r="137" spans="1:44" x14ac:dyDescent="0.25">
      <c r="A137" t="str">
        <f>_xlfn.CONCAT(C137,D137)</f>
        <v>Angelou1978</v>
      </c>
      <c r="C137" t="s">
        <v>29</v>
      </c>
      <c r="D137">
        <v>1978</v>
      </c>
      <c r="E137">
        <f>INT(D137/100)+1</f>
        <v>20</v>
      </c>
      <c r="F137">
        <v>2064</v>
      </c>
      <c r="G137" t="s">
        <v>12</v>
      </c>
      <c r="H137" t="s">
        <v>30</v>
      </c>
      <c r="I137" t="s">
        <v>28</v>
      </c>
      <c r="AL137" t="s">
        <v>232</v>
      </c>
      <c r="AM137" t="str">
        <f t="shared" si="4"/>
        <v>Civil Rights Movement poetry</v>
      </c>
      <c r="AN137" t="str">
        <f t="shared" si="4"/>
        <v>Angelou</v>
      </c>
      <c r="AO137">
        <f t="shared" si="4"/>
        <v>1968</v>
      </c>
      <c r="AP137">
        <f t="shared" si="4"/>
        <v>20</v>
      </c>
      <c r="AQ137">
        <f t="shared" si="4"/>
        <v>2054</v>
      </c>
      <c r="AR137" t="str">
        <f t="shared" si="4"/>
        <v>United States</v>
      </c>
    </row>
    <row r="138" spans="1:44" x14ac:dyDescent="0.25">
      <c r="A138" t="str">
        <f>_xlfn.CONCAT(C138,D138)</f>
        <v>Angelou1988</v>
      </c>
      <c r="C138" t="s">
        <v>29</v>
      </c>
      <c r="D138">
        <v>1988</v>
      </c>
      <c r="E138">
        <f>INT(D138/100)+1</f>
        <v>20</v>
      </c>
      <c r="F138">
        <v>2074</v>
      </c>
      <c r="G138" t="s">
        <v>12</v>
      </c>
      <c r="H138" t="s">
        <v>30</v>
      </c>
      <c r="I138" t="s">
        <v>28</v>
      </c>
      <c r="AL138" t="s">
        <v>233</v>
      </c>
      <c r="AM138" t="str">
        <f t="shared" si="4"/>
        <v>Civil Rights Movement poetry</v>
      </c>
      <c r="AN138" t="str">
        <f t="shared" si="4"/>
        <v>Angelou</v>
      </c>
      <c r="AO138">
        <f t="shared" si="4"/>
        <v>1978</v>
      </c>
      <c r="AP138">
        <f t="shared" si="4"/>
        <v>20</v>
      </c>
      <c r="AQ138">
        <f t="shared" si="4"/>
        <v>2064</v>
      </c>
      <c r="AR138" t="str">
        <f t="shared" si="4"/>
        <v>United States</v>
      </c>
    </row>
    <row r="139" spans="1:44" x14ac:dyDescent="0.25">
      <c r="A139" t="str">
        <f>_xlfn.CONCAT(C139,D139)</f>
        <v>Angelou1998</v>
      </c>
      <c r="C139" t="s">
        <v>29</v>
      </c>
      <c r="D139">
        <v>1998</v>
      </c>
      <c r="E139">
        <f>INT(D139/100)+1</f>
        <v>20</v>
      </c>
      <c r="F139">
        <v>2084</v>
      </c>
      <c r="G139" t="s">
        <v>12</v>
      </c>
      <c r="H139" t="s">
        <v>30</v>
      </c>
      <c r="I139" t="s">
        <v>28</v>
      </c>
      <c r="AL139" t="s">
        <v>234</v>
      </c>
      <c r="AM139" t="str">
        <f t="shared" si="4"/>
        <v>Civil Rights Movement poetry</v>
      </c>
      <c r="AN139" t="str">
        <f t="shared" si="4"/>
        <v>Angelou</v>
      </c>
      <c r="AO139">
        <f t="shared" si="4"/>
        <v>1988</v>
      </c>
      <c r="AP139">
        <f t="shared" si="4"/>
        <v>20</v>
      </c>
      <c r="AQ139">
        <f t="shared" si="4"/>
        <v>2074</v>
      </c>
      <c r="AR139" t="str">
        <f t="shared" si="4"/>
        <v>United States</v>
      </c>
    </row>
    <row r="140" spans="1:44" x14ac:dyDescent="0.25">
      <c r="A140" t="str">
        <f>_xlfn.CONCAT(C140,D140)</f>
        <v>Sexton1928</v>
      </c>
      <c r="C140" t="s">
        <v>62</v>
      </c>
      <c r="D140">
        <v>1928</v>
      </c>
      <c r="E140">
        <f>INT(D140/100)+1</f>
        <v>20</v>
      </c>
      <c r="F140">
        <v>1974</v>
      </c>
      <c r="G140" t="s">
        <v>12</v>
      </c>
      <c r="H140" t="s">
        <v>13</v>
      </c>
      <c r="I140" t="s">
        <v>61</v>
      </c>
      <c r="AL140" t="s">
        <v>235</v>
      </c>
      <c r="AM140" t="str">
        <f t="shared" si="4"/>
        <v>Civil Rights Movement poetry</v>
      </c>
      <c r="AN140" t="str">
        <f t="shared" si="4"/>
        <v>Angelou</v>
      </c>
      <c r="AO140">
        <f t="shared" si="4"/>
        <v>1998</v>
      </c>
      <c r="AP140">
        <f t="shared" si="4"/>
        <v>20</v>
      </c>
      <c r="AQ140">
        <f t="shared" si="4"/>
        <v>2084</v>
      </c>
      <c r="AR140" t="str">
        <f t="shared" si="4"/>
        <v>United States</v>
      </c>
    </row>
    <row r="141" spans="1:44" x14ac:dyDescent="0.25">
      <c r="A141" t="str">
        <f>_xlfn.CONCAT(C141,D141)</f>
        <v>Plath1932</v>
      </c>
      <c r="C141" t="s">
        <v>11</v>
      </c>
      <c r="D141">
        <v>1932</v>
      </c>
      <c r="E141">
        <f>INT(D141/100)+1</f>
        <v>20</v>
      </c>
      <c r="F141">
        <v>1963</v>
      </c>
      <c r="G141" t="s">
        <v>12</v>
      </c>
      <c r="H141" t="s">
        <v>13</v>
      </c>
      <c r="I141" t="s">
        <v>10</v>
      </c>
      <c r="AL141" t="s">
        <v>236</v>
      </c>
      <c r="AM141" t="str">
        <f t="shared" si="4"/>
        <v>Confessional poetry</v>
      </c>
      <c r="AN141" t="str">
        <f t="shared" si="4"/>
        <v>Sexton</v>
      </c>
      <c r="AO141">
        <f t="shared" si="4"/>
        <v>1928</v>
      </c>
      <c r="AP141">
        <f t="shared" si="4"/>
        <v>20</v>
      </c>
      <c r="AQ141">
        <f t="shared" si="4"/>
        <v>1974</v>
      </c>
      <c r="AR141" t="str">
        <f t="shared" si="4"/>
        <v>United States</v>
      </c>
    </row>
    <row r="142" spans="1:44" x14ac:dyDescent="0.25">
      <c r="A142" t="str">
        <f>_xlfn.CONCAT(C142,D142)</f>
        <v>Sexton1938</v>
      </c>
      <c r="C142" t="s">
        <v>62</v>
      </c>
      <c r="D142">
        <v>1938</v>
      </c>
      <c r="E142">
        <f>INT(D142/100)+1</f>
        <v>20</v>
      </c>
      <c r="F142">
        <v>1984</v>
      </c>
      <c r="G142" t="s">
        <v>12</v>
      </c>
      <c r="H142" t="s">
        <v>13</v>
      </c>
      <c r="I142" t="s">
        <v>61</v>
      </c>
      <c r="AL142" t="s">
        <v>237</v>
      </c>
      <c r="AM142" t="str">
        <f t="shared" si="4"/>
        <v>Confessional poetry</v>
      </c>
      <c r="AN142" t="str">
        <f t="shared" si="4"/>
        <v>Plath</v>
      </c>
      <c r="AO142">
        <f t="shared" si="4"/>
        <v>1932</v>
      </c>
      <c r="AP142">
        <f t="shared" si="4"/>
        <v>20</v>
      </c>
      <c r="AQ142">
        <f t="shared" si="4"/>
        <v>1963</v>
      </c>
      <c r="AR142" t="str">
        <f t="shared" si="4"/>
        <v>United States</v>
      </c>
    </row>
    <row r="143" spans="1:44" x14ac:dyDescent="0.25">
      <c r="A143" t="str">
        <f>_xlfn.CONCAT(C143,D143)</f>
        <v>Plath1942</v>
      </c>
      <c r="C143" t="s">
        <v>11</v>
      </c>
      <c r="D143">
        <v>1942</v>
      </c>
      <c r="E143">
        <f>INT(D143/100)+1</f>
        <v>20</v>
      </c>
      <c r="F143">
        <v>1973</v>
      </c>
      <c r="G143" t="s">
        <v>12</v>
      </c>
      <c r="H143" t="s">
        <v>13</v>
      </c>
      <c r="I143" t="s">
        <v>10</v>
      </c>
      <c r="AL143" t="s">
        <v>238</v>
      </c>
      <c r="AM143" t="str">
        <f t="shared" si="4"/>
        <v>Confessional poetry</v>
      </c>
      <c r="AN143" t="str">
        <f t="shared" si="4"/>
        <v>Sexton</v>
      </c>
      <c r="AO143">
        <f t="shared" si="4"/>
        <v>1938</v>
      </c>
      <c r="AP143">
        <f t="shared" si="4"/>
        <v>20</v>
      </c>
      <c r="AQ143">
        <f t="shared" si="4"/>
        <v>1984</v>
      </c>
      <c r="AR143" t="str">
        <f t="shared" si="4"/>
        <v>United States</v>
      </c>
    </row>
    <row r="144" spans="1:44" x14ac:dyDescent="0.25">
      <c r="A144" t="str">
        <f>_xlfn.CONCAT(C144,D144)</f>
        <v>Sexton1948</v>
      </c>
      <c r="C144" t="s">
        <v>62</v>
      </c>
      <c r="D144">
        <v>1948</v>
      </c>
      <c r="E144">
        <f>INT(D144/100)+1</f>
        <v>20</v>
      </c>
      <c r="F144">
        <v>1994</v>
      </c>
      <c r="G144" t="s">
        <v>12</v>
      </c>
      <c r="H144" t="s">
        <v>13</v>
      </c>
      <c r="I144" t="s">
        <v>61</v>
      </c>
      <c r="AL144" t="s">
        <v>239</v>
      </c>
      <c r="AM144" t="str">
        <f t="shared" si="4"/>
        <v>Confessional poetry</v>
      </c>
      <c r="AN144" t="str">
        <f t="shared" si="4"/>
        <v>Plath</v>
      </c>
      <c r="AO144">
        <f t="shared" si="4"/>
        <v>1942</v>
      </c>
      <c r="AP144">
        <f t="shared" si="4"/>
        <v>20</v>
      </c>
      <c r="AQ144">
        <f t="shared" si="4"/>
        <v>1973</v>
      </c>
      <c r="AR144" t="str">
        <f t="shared" si="4"/>
        <v>United States</v>
      </c>
    </row>
    <row r="145" spans="1:44" x14ac:dyDescent="0.25">
      <c r="A145" t="str">
        <f>_xlfn.CONCAT(C145,D145)</f>
        <v>Plath1952</v>
      </c>
      <c r="C145" t="s">
        <v>11</v>
      </c>
      <c r="D145">
        <v>1952</v>
      </c>
      <c r="E145">
        <f>INT(D145/100)+1</f>
        <v>20</v>
      </c>
      <c r="F145">
        <v>1983</v>
      </c>
      <c r="G145" t="s">
        <v>12</v>
      </c>
      <c r="H145" t="s">
        <v>13</v>
      </c>
      <c r="I145" t="s">
        <v>10</v>
      </c>
      <c r="AL145" t="s">
        <v>240</v>
      </c>
      <c r="AM145" t="str">
        <f t="shared" si="4"/>
        <v>Confessional poetry</v>
      </c>
      <c r="AN145" t="str">
        <f t="shared" si="4"/>
        <v>Sexton</v>
      </c>
      <c r="AO145">
        <f t="shared" si="4"/>
        <v>1948</v>
      </c>
      <c r="AP145">
        <f t="shared" si="4"/>
        <v>20</v>
      </c>
      <c r="AQ145">
        <f t="shared" si="4"/>
        <v>1994</v>
      </c>
      <c r="AR145" t="str">
        <f t="shared" si="4"/>
        <v>United States</v>
      </c>
    </row>
    <row r="146" spans="1:44" x14ac:dyDescent="0.25">
      <c r="A146" t="str">
        <f>_xlfn.CONCAT(C146,D146)</f>
        <v>Sexton1958</v>
      </c>
      <c r="C146" t="s">
        <v>62</v>
      </c>
      <c r="D146">
        <v>1958</v>
      </c>
      <c r="E146">
        <f>INT(D146/100)+1</f>
        <v>20</v>
      </c>
      <c r="F146">
        <v>2004</v>
      </c>
      <c r="G146" t="s">
        <v>12</v>
      </c>
      <c r="H146" t="s">
        <v>13</v>
      </c>
      <c r="I146" t="s">
        <v>61</v>
      </c>
      <c r="AL146" t="s">
        <v>241</v>
      </c>
      <c r="AM146" t="str">
        <f t="shared" si="4"/>
        <v>Confessional poetry</v>
      </c>
      <c r="AN146" t="str">
        <f t="shared" si="4"/>
        <v>Plath</v>
      </c>
      <c r="AO146">
        <f t="shared" si="4"/>
        <v>1952</v>
      </c>
      <c r="AP146">
        <f t="shared" si="4"/>
        <v>20</v>
      </c>
      <c r="AQ146">
        <f t="shared" si="4"/>
        <v>1983</v>
      </c>
      <c r="AR146" t="str">
        <f t="shared" si="4"/>
        <v>United States</v>
      </c>
    </row>
    <row r="147" spans="1:44" x14ac:dyDescent="0.25">
      <c r="A147" t="str">
        <f>_xlfn.CONCAT(C147,D147)</f>
        <v>Plath1962</v>
      </c>
      <c r="C147" t="s">
        <v>11</v>
      </c>
      <c r="D147">
        <v>1962</v>
      </c>
      <c r="E147">
        <f>INT(D147/100)+1</f>
        <v>20</v>
      </c>
      <c r="F147">
        <v>1993</v>
      </c>
      <c r="G147" t="s">
        <v>12</v>
      </c>
      <c r="H147" t="s">
        <v>13</v>
      </c>
      <c r="I147" t="s">
        <v>10</v>
      </c>
      <c r="AL147" t="s">
        <v>242</v>
      </c>
      <c r="AM147" t="str">
        <f t="shared" si="4"/>
        <v>Confessional poetry</v>
      </c>
      <c r="AN147" t="str">
        <f t="shared" si="4"/>
        <v>Sexton</v>
      </c>
      <c r="AO147">
        <f t="shared" si="4"/>
        <v>1958</v>
      </c>
      <c r="AP147">
        <f t="shared" si="4"/>
        <v>20</v>
      </c>
      <c r="AQ147">
        <f t="shared" si="4"/>
        <v>2004</v>
      </c>
      <c r="AR147" t="str">
        <f t="shared" si="4"/>
        <v>United States</v>
      </c>
    </row>
    <row r="148" spans="1:44" x14ac:dyDescent="0.25">
      <c r="A148" t="str">
        <f>_xlfn.CONCAT(C148,D148)</f>
        <v>Sexton1968</v>
      </c>
      <c r="C148" t="s">
        <v>62</v>
      </c>
      <c r="D148">
        <v>1968</v>
      </c>
      <c r="E148">
        <f>INT(D148/100)+1</f>
        <v>20</v>
      </c>
      <c r="F148">
        <v>2014</v>
      </c>
      <c r="G148" t="s">
        <v>12</v>
      </c>
      <c r="H148" t="s">
        <v>13</v>
      </c>
      <c r="I148" t="s">
        <v>61</v>
      </c>
      <c r="AL148" t="s">
        <v>243</v>
      </c>
      <c r="AM148" t="str">
        <f t="shared" si="4"/>
        <v>Confessional poetry</v>
      </c>
      <c r="AN148" t="str">
        <f t="shared" si="4"/>
        <v>Plath</v>
      </c>
      <c r="AO148">
        <f t="shared" si="4"/>
        <v>1962</v>
      </c>
      <c r="AP148">
        <f t="shared" si="4"/>
        <v>20</v>
      </c>
      <c r="AQ148">
        <f t="shared" si="4"/>
        <v>1993</v>
      </c>
      <c r="AR148" t="str">
        <f t="shared" si="4"/>
        <v>United States</v>
      </c>
    </row>
    <row r="149" spans="1:44" x14ac:dyDescent="0.25">
      <c r="A149" t="str">
        <f>_xlfn.CONCAT(C149,D149)</f>
        <v>Plath1972</v>
      </c>
      <c r="C149" t="s">
        <v>11</v>
      </c>
      <c r="D149">
        <v>1972</v>
      </c>
      <c r="E149">
        <f>INT(D149/100)+1</f>
        <v>20</v>
      </c>
      <c r="F149">
        <v>2003</v>
      </c>
      <c r="G149" t="s">
        <v>12</v>
      </c>
      <c r="H149" t="s">
        <v>13</v>
      </c>
      <c r="I149" t="s">
        <v>10</v>
      </c>
      <c r="AL149" t="s">
        <v>244</v>
      </c>
      <c r="AM149" t="str">
        <f t="shared" si="4"/>
        <v>Confessional poetry</v>
      </c>
      <c r="AN149" t="str">
        <f t="shared" si="4"/>
        <v>Sexton</v>
      </c>
      <c r="AO149">
        <f t="shared" si="4"/>
        <v>1968</v>
      </c>
      <c r="AP149">
        <f t="shared" si="4"/>
        <v>20</v>
      </c>
      <c r="AQ149">
        <f t="shared" si="4"/>
        <v>2014</v>
      </c>
      <c r="AR149" t="str">
        <f t="shared" si="4"/>
        <v>United States</v>
      </c>
    </row>
    <row r="150" spans="1:44" x14ac:dyDescent="0.25">
      <c r="A150" t="str">
        <f>_xlfn.CONCAT(C150,D150)</f>
        <v>Sexton1978</v>
      </c>
      <c r="C150" t="s">
        <v>62</v>
      </c>
      <c r="D150">
        <v>1978</v>
      </c>
      <c r="E150">
        <f>INT(D150/100)+1</f>
        <v>20</v>
      </c>
      <c r="F150">
        <v>2024</v>
      </c>
      <c r="G150" t="s">
        <v>12</v>
      </c>
      <c r="H150" t="s">
        <v>13</v>
      </c>
      <c r="I150" t="s">
        <v>61</v>
      </c>
      <c r="AL150" t="s">
        <v>245</v>
      </c>
      <c r="AM150" t="str">
        <f t="shared" si="4"/>
        <v>Confessional poetry</v>
      </c>
      <c r="AN150" t="str">
        <f t="shared" si="4"/>
        <v>Plath</v>
      </c>
      <c r="AO150">
        <f t="shared" si="4"/>
        <v>1972</v>
      </c>
      <c r="AP150">
        <f t="shared" si="4"/>
        <v>20</v>
      </c>
      <c r="AQ150">
        <f t="shared" si="4"/>
        <v>2003</v>
      </c>
      <c r="AR150" t="str">
        <f t="shared" si="4"/>
        <v>United States</v>
      </c>
    </row>
    <row r="151" spans="1:44" x14ac:dyDescent="0.25">
      <c r="A151" t="str">
        <f>_xlfn.CONCAT(C151,D151)</f>
        <v>Plath1982</v>
      </c>
      <c r="C151" t="s">
        <v>11</v>
      </c>
      <c r="D151">
        <v>1982</v>
      </c>
      <c r="E151">
        <f>INT(D151/100)+1</f>
        <v>20</v>
      </c>
      <c r="F151">
        <v>2013</v>
      </c>
      <c r="G151" t="s">
        <v>12</v>
      </c>
      <c r="H151" t="s">
        <v>13</v>
      </c>
      <c r="I151" t="s">
        <v>10</v>
      </c>
      <c r="AL151" t="s">
        <v>246</v>
      </c>
      <c r="AM151" t="str">
        <f t="shared" si="4"/>
        <v>Confessional poetry</v>
      </c>
      <c r="AN151" t="str">
        <f t="shared" si="4"/>
        <v>Sexton</v>
      </c>
      <c r="AO151">
        <f t="shared" si="4"/>
        <v>1978</v>
      </c>
      <c r="AP151">
        <f t="shared" si="4"/>
        <v>20</v>
      </c>
      <c r="AQ151">
        <f t="shared" si="4"/>
        <v>2024</v>
      </c>
      <c r="AR151" t="str">
        <f t="shared" si="4"/>
        <v>United States</v>
      </c>
    </row>
    <row r="152" spans="1:44" x14ac:dyDescent="0.25">
      <c r="A152" t="str">
        <f>_xlfn.CONCAT(C152,D152)</f>
        <v>Sexton1988</v>
      </c>
      <c r="C152" t="s">
        <v>62</v>
      </c>
      <c r="D152">
        <v>1988</v>
      </c>
      <c r="E152">
        <f>INT(D152/100)+1</f>
        <v>20</v>
      </c>
      <c r="F152">
        <v>2034</v>
      </c>
      <c r="G152" t="s">
        <v>12</v>
      </c>
      <c r="H152" t="s">
        <v>13</v>
      </c>
      <c r="I152" t="s">
        <v>61</v>
      </c>
      <c r="AL152" t="s">
        <v>247</v>
      </c>
      <c r="AM152" t="str">
        <f t="shared" si="4"/>
        <v>Confessional poetry</v>
      </c>
      <c r="AN152" t="str">
        <f t="shared" si="4"/>
        <v>Plath</v>
      </c>
      <c r="AO152">
        <f t="shared" si="4"/>
        <v>1982</v>
      </c>
      <c r="AP152">
        <f t="shared" si="4"/>
        <v>20</v>
      </c>
      <c r="AQ152">
        <f t="shared" si="4"/>
        <v>2013</v>
      </c>
      <c r="AR152" t="str">
        <f t="shared" si="4"/>
        <v>United States</v>
      </c>
    </row>
    <row r="153" spans="1:44" x14ac:dyDescent="0.25">
      <c r="A153" t="str">
        <f>_xlfn.CONCAT(C153,D153)</f>
        <v>Plath1992</v>
      </c>
      <c r="C153" t="s">
        <v>11</v>
      </c>
      <c r="D153">
        <v>1992</v>
      </c>
      <c r="E153">
        <f>INT(D153/100)+1</f>
        <v>20</v>
      </c>
      <c r="F153">
        <v>2023</v>
      </c>
      <c r="G153" t="s">
        <v>12</v>
      </c>
      <c r="H153" t="s">
        <v>13</v>
      </c>
      <c r="I153" t="s">
        <v>10</v>
      </c>
      <c r="AL153" t="s">
        <v>248</v>
      </c>
      <c r="AM153" t="str">
        <f t="shared" si="4"/>
        <v>Confessional poetry</v>
      </c>
      <c r="AN153" t="str">
        <f t="shared" si="4"/>
        <v>Sexton</v>
      </c>
      <c r="AO153">
        <f t="shared" si="4"/>
        <v>1988</v>
      </c>
      <c r="AP153">
        <f t="shared" si="4"/>
        <v>20</v>
      </c>
      <c r="AQ153">
        <f t="shared" si="4"/>
        <v>2034</v>
      </c>
      <c r="AR153" t="str">
        <f t="shared" si="4"/>
        <v>United States</v>
      </c>
    </row>
    <row r="154" spans="1:44" x14ac:dyDescent="0.25">
      <c r="A154" t="str">
        <f>_xlfn.CONCAT(C154,D154)</f>
        <v>Sexton1998</v>
      </c>
      <c r="C154" t="s">
        <v>62</v>
      </c>
      <c r="D154">
        <v>1998</v>
      </c>
      <c r="E154">
        <f>INT(D154/100)+1</f>
        <v>20</v>
      </c>
      <c r="F154">
        <v>2044</v>
      </c>
      <c r="G154" t="s">
        <v>12</v>
      </c>
      <c r="H154" t="s">
        <v>13</v>
      </c>
      <c r="I154" t="s">
        <v>61</v>
      </c>
      <c r="AL154" t="s">
        <v>249</v>
      </c>
      <c r="AM154" t="str">
        <f t="shared" si="4"/>
        <v>Confessional poetry</v>
      </c>
      <c r="AN154" t="str">
        <f t="shared" si="4"/>
        <v>Plath</v>
      </c>
      <c r="AO154">
        <f t="shared" si="4"/>
        <v>1992</v>
      </c>
      <c r="AP154">
        <f t="shared" si="4"/>
        <v>20</v>
      </c>
      <c r="AQ154">
        <f t="shared" si="4"/>
        <v>2023</v>
      </c>
      <c r="AR154" t="str">
        <f t="shared" si="4"/>
        <v>United States</v>
      </c>
    </row>
    <row r="155" spans="1:44" x14ac:dyDescent="0.25">
      <c r="A155" t="str">
        <f>_xlfn.CONCAT(C155,D155)</f>
        <v>GlĂĽck1943</v>
      </c>
      <c r="C155" t="s">
        <v>53</v>
      </c>
      <c r="D155">
        <v>1943</v>
      </c>
      <c r="E155">
        <f>INT(D155/100)+1</f>
        <v>20</v>
      </c>
      <c r="F155">
        <v>2020</v>
      </c>
      <c r="G155" t="s">
        <v>12</v>
      </c>
      <c r="H155" t="s">
        <v>54</v>
      </c>
      <c r="I155" t="s">
        <v>52</v>
      </c>
      <c r="AL155" t="s">
        <v>250</v>
      </c>
      <c r="AM155" t="str">
        <f t="shared" si="4"/>
        <v>Confessional poetry</v>
      </c>
      <c r="AN155" t="str">
        <f t="shared" si="4"/>
        <v>Sexton</v>
      </c>
      <c r="AO155">
        <f t="shared" si="4"/>
        <v>1998</v>
      </c>
      <c r="AP155">
        <f t="shared" si="4"/>
        <v>20</v>
      </c>
      <c r="AQ155">
        <f t="shared" si="4"/>
        <v>2044</v>
      </c>
      <c r="AR155" t="str">
        <f t="shared" si="4"/>
        <v>United States</v>
      </c>
    </row>
    <row r="156" spans="1:44" x14ac:dyDescent="0.25">
      <c r="A156" t="str">
        <f>_xlfn.CONCAT(C156,D156)</f>
        <v>GlĂĽck1953</v>
      </c>
      <c r="C156" t="s">
        <v>53</v>
      </c>
      <c r="D156">
        <v>1953</v>
      </c>
      <c r="E156">
        <f>INT(D156/100)+1</f>
        <v>20</v>
      </c>
      <c r="F156">
        <v>2030</v>
      </c>
      <c r="G156" t="s">
        <v>12</v>
      </c>
      <c r="H156" t="s">
        <v>54</v>
      </c>
      <c r="I156" t="s">
        <v>52</v>
      </c>
      <c r="AL156" t="s">
        <v>251</v>
      </c>
      <c r="AM156" t="str">
        <f t="shared" si="4"/>
        <v>Contemporary poetry</v>
      </c>
      <c r="AN156" t="str">
        <f t="shared" si="4"/>
        <v>GlĂĽck</v>
      </c>
      <c r="AO156">
        <f t="shared" si="4"/>
        <v>1943</v>
      </c>
      <c r="AP156">
        <f t="shared" ref="AM156:AR202" si="5">VLOOKUP($AL156,$A$2:$I$209,AP$2,FALSE)</f>
        <v>20</v>
      </c>
      <c r="AQ156">
        <f t="shared" si="5"/>
        <v>2020</v>
      </c>
      <c r="AR156" t="str">
        <f t="shared" si="5"/>
        <v>United States</v>
      </c>
    </row>
    <row r="157" spans="1:44" x14ac:dyDescent="0.25">
      <c r="A157" t="str">
        <f>_xlfn.CONCAT(C157,D157)</f>
        <v>GlĂĽck1963</v>
      </c>
      <c r="C157" t="s">
        <v>53</v>
      </c>
      <c r="D157">
        <v>1963</v>
      </c>
      <c r="E157">
        <f>INT(D157/100)+1</f>
        <v>20</v>
      </c>
      <c r="F157">
        <v>2040</v>
      </c>
      <c r="G157" t="s">
        <v>12</v>
      </c>
      <c r="H157" t="s">
        <v>54</v>
      </c>
      <c r="I157" t="s">
        <v>52</v>
      </c>
      <c r="AL157" t="s">
        <v>252</v>
      </c>
      <c r="AM157" t="str">
        <f t="shared" si="5"/>
        <v>Contemporary poetry</v>
      </c>
      <c r="AN157" t="str">
        <f t="shared" si="5"/>
        <v>GlĂĽck</v>
      </c>
      <c r="AO157">
        <f t="shared" si="5"/>
        <v>1953</v>
      </c>
      <c r="AP157">
        <f t="shared" si="5"/>
        <v>20</v>
      </c>
      <c r="AQ157">
        <f t="shared" si="5"/>
        <v>2030</v>
      </c>
      <c r="AR157" t="str">
        <f t="shared" si="5"/>
        <v>United States</v>
      </c>
    </row>
    <row r="158" spans="1:44" x14ac:dyDescent="0.25">
      <c r="A158" t="str">
        <f>_xlfn.CONCAT(C158,D158)</f>
        <v>GlĂĽck1973</v>
      </c>
      <c r="C158" t="s">
        <v>53</v>
      </c>
      <c r="D158">
        <v>1973</v>
      </c>
      <c r="E158">
        <f>INT(D158/100)+1</f>
        <v>20</v>
      </c>
      <c r="F158">
        <v>2050</v>
      </c>
      <c r="G158" t="s">
        <v>12</v>
      </c>
      <c r="H158" t="s">
        <v>54</v>
      </c>
      <c r="I158" t="s">
        <v>52</v>
      </c>
      <c r="AL158" t="s">
        <v>253</v>
      </c>
      <c r="AM158" t="str">
        <f t="shared" si="5"/>
        <v>Contemporary poetry</v>
      </c>
      <c r="AN158" t="str">
        <f t="shared" si="5"/>
        <v>GlĂĽck</v>
      </c>
      <c r="AO158">
        <f t="shared" si="5"/>
        <v>1963</v>
      </c>
      <c r="AP158">
        <f t="shared" si="5"/>
        <v>20</v>
      </c>
      <c r="AQ158">
        <f t="shared" si="5"/>
        <v>2040</v>
      </c>
      <c r="AR158" t="str">
        <f t="shared" si="5"/>
        <v>United States</v>
      </c>
    </row>
    <row r="159" spans="1:44" x14ac:dyDescent="0.25">
      <c r="A159" t="str">
        <f>_xlfn.CONCAT(C159,D159)</f>
        <v>GlĂĽck1983</v>
      </c>
      <c r="C159" t="s">
        <v>53</v>
      </c>
      <c r="D159">
        <v>1983</v>
      </c>
      <c r="E159">
        <f>INT(D159/100)+1</f>
        <v>20</v>
      </c>
      <c r="F159">
        <v>2060</v>
      </c>
      <c r="G159" t="s">
        <v>12</v>
      </c>
      <c r="H159" t="s">
        <v>54</v>
      </c>
      <c r="I159" t="s">
        <v>52</v>
      </c>
      <c r="AL159" t="s">
        <v>254</v>
      </c>
      <c r="AM159" t="str">
        <f t="shared" si="5"/>
        <v>Contemporary poetry</v>
      </c>
      <c r="AN159" t="str">
        <f t="shared" si="5"/>
        <v>GlĂĽck</v>
      </c>
      <c r="AO159">
        <f t="shared" si="5"/>
        <v>1973</v>
      </c>
      <c r="AP159">
        <f t="shared" si="5"/>
        <v>20</v>
      </c>
      <c r="AQ159">
        <f t="shared" si="5"/>
        <v>2050</v>
      </c>
      <c r="AR159" t="str">
        <f t="shared" si="5"/>
        <v>United States</v>
      </c>
    </row>
    <row r="160" spans="1:44" x14ac:dyDescent="0.25">
      <c r="A160" t="str">
        <f>_xlfn.CONCAT(C160,D160)</f>
        <v>GlĂĽck1993</v>
      </c>
      <c r="C160" t="s">
        <v>53</v>
      </c>
      <c r="D160">
        <v>1993</v>
      </c>
      <c r="E160">
        <f>INT(D160/100)+1</f>
        <v>20</v>
      </c>
      <c r="F160">
        <v>2070</v>
      </c>
      <c r="G160" t="s">
        <v>12</v>
      </c>
      <c r="H160" t="s">
        <v>54</v>
      </c>
      <c r="I160" t="s">
        <v>52</v>
      </c>
      <c r="AL160" t="s">
        <v>255</v>
      </c>
      <c r="AM160" t="str">
        <f t="shared" si="5"/>
        <v>Contemporary poetry</v>
      </c>
      <c r="AN160" t="str">
        <f t="shared" si="5"/>
        <v>GlĂĽck</v>
      </c>
      <c r="AO160">
        <f t="shared" si="5"/>
        <v>1983</v>
      </c>
      <c r="AP160">
        <f t="shared" si="5"/>
        <v>20</v>
      </c>
      <c r="AQ160">
        <f t="shared" si="5"/>
        <v>2060</v>
      </c>
      <c r="AR160" t="str">
        <f t="shared" si="5"/>
        <v>United States</v>
      </c>
    </row>
    <row r="161" spans="1:44" x14ac:dyDescent="0.25">
      <c r="A161" t="str">
        <f>_xlfn.CONCAT(C161,D161)</f>
        <v>Hughes1902</v>
      </c>
      <c r="C161" t="s">
        <v>15</v>
      </c>
      <c r="D161">
        <v>1902</v>
      </c>
      <c r="E161">
        <f>INT(D161/100)+1</f>
        <v>20</v>
      </c>
      <c r="F161">
        <v>1967</v>
      </c>
      <c r="G161" t="s">
        <v>12</v>
      </c>
      <c r="H161" t="s">
        <v>16</v>
      </c>
      <c r="I161" t="s">
        <v>14</v>
      </c>
      <c r="AL161" t="s">
        <v>256</v>
      </c>
      <c r="AM161" t="str">
        <f t="shared" si="5"/>
        <v>Contemporary poetry</v>
      </c>
      <c r="AN161" t="str">
        <f t="shared" si="5"/>
        <v>GlĂĽck</v>
      </c>
      <c r="AO161">
        <f t="shared" si="5"/>
        <v>1993</v>
      </c>
      <c r="AP161">
        <f t="shared" si="5"/>
        <v>20</v>
      </c>
      <c r="AQ161">
        <f t="shared" si="5"/>
        <v>2070</v>
      </c>
      <c r="AR161" t="str">
        <f t="shared" si="5"/>
        <v>United States</v>
      </c>
    </row>
    <row r="162" spans="1:44" x14ac:dyDescent="0.25">
      <c r="A162" t="str">
        <f>_xlfn.CONCAT(C162,D162)</f>
        <v>Hughes1912</v>
      </c>
      <c r="C162" t="s">
        <v>15</v>
      </c>
      <c r="D162">
        <v>1912</v>
      </c>
      <c r="E162">
        <f>INT(D162/100)+1</f>
        <v>20</v>
      </c>
      <c r="F162">
        <v>1977</v>
      </c>
      <c r="G162" t="s">
        <v>12</v>
      </c>
      <c r="H162" t="s">
        <v>16</v>
      </c>
      <c r="I162" t="s">
        <v>14</v>
      </c>
      <c r="AL162" t="s">
        <v>257</v>
      </c>
      <c r="AM162" t="str">
        <f t="shared" si="5"/>
        <v>Jazz poetry</v>
      </c>
      <c r="AN162" t="str">
        <f t="shared" si="5"/>
        <v>Hughes</v>
      </c>
      <c r="AO162">
        <f t="shared" si="5"/>
        <v>1902</v>
      </c>
      <c r="AP162">
        <f t="shared" si="5"/>
        <v>20</v>
      </c>
      <c r="AQ162">
        <f t="shared" si="5"/>
        <v>1967</v>
      </c>
      <c r="AR162" t="str">
        <f t="shared" si="5"/>
        <v>United States</v>
      </c>
    </row>
    <row r="163" spans="1:44" x14ac:dyDescent="0.25">
      <c r="A163" t="str">
        <f>_xlfn.CONCAT(C163,D163)</f>
        <v>Hughes1922</v>
      </c>
      <c r="C163" t="s">
        <v>15</v>
      </c>
      <c r="D163">
        <v>1922</v>
      </c>
      <c r="E163">
        <f>INT(D163/100)+1</f>
        <v>20</v>
      </c>
      <c r="F163">
        <v>1987</v>
      </c>
      <c r="G163" t="s">
        <v>12</v>
      </c>
      <c r="H163" t="s">
        <v>16</v>
      </c>
      <c r="I163" t="s">
        <v>14</v>
      </c>
      <c r="AL163" t="s">
        <v>258</v>
      </c>
      <c r="AM163" t="str">
        <f t="shared" si="5"/>
        <v>Jazz poetry</v>
      </c>
      <c r="AN163" t="str">
        <f t="shared" si="5"/>
        <v>Hughes</v>
      </c>
      <c r="AO163">
        <f t="shared" si="5"/>
        <v>1912</v>
      </c>
      <c r="AP163">
        <f t="shared" si="5"/>
        <v>20</v>
      </c>
      <c r="AQ163">
        <f t="shared" si="5"/>
        <v>1977</v>
      </c>
      <c r="AR163" t="str">
        <f t="shared" si="5"/>
        <v>United States</v>
      </c>
    </row>
    <row r="164" spans="1:44" x14ac:dyDescent="0.25">
      <c r="A164" t="str">
        <f>_xlfn.CONCAT(C164,D164)</f>
        <v>Hughes1932</v>
      </c>
      <c r="C164" t="s">
        <v>15</v>
      </c>
      <c r="D164">
        <v>1932</v>
      </c>
      <c r="E164">
        <f>INT(D164/100)+1</f>
        <v>20</v>
      </c>
      <c r="F164">
        <v>1997</v>
      </c>
      <c r="G164" t="s">
        <v>12</v>
      </c>
      <c r="H164" t="s">
        <v>16</v>
      </c>
      <c r="I164" t="s">
        <v>14</v>
      </c>
      <c r="AL164" t="s">
        <v>259</v>
      </c>
      <c r="AM164" t="str">
        <f t="shared" si="5"/>
        <v>Jazz poetry</v>
      </c>
      <c r="AN164" t="str">
        <f t="shared" si="5"/>
        <v>Hughes</v>
      </c>
      <c r="AO164">
        <f t="shared" si="5"/>
        <v>1922</v>
      </c>
      <c r="AP164">
        <f t="shared" si="5"/>
        <v>20</v>
      </c>
      <c r="AQ164">
        <f t="shared" si="5"/>
        <v>1987</v>
      </c>
      <c r="AR164" t="str">
        <f t="shared" si="5"/>
        <v>United States</v>
      </c>
    </row>
    <row r="165" spans="1:44" x14ac:dyDescent="0.25">
      <c r="A165" t="str">
        <f>_xlfn.CONCAT(C165,D165)</f>
        <v>Hughes1942</v>
      </c>
      <c r="C165" t="s">
        <v>15</v>
      </c>
      <c r="D165">
        <v>1942</v>
      </c>
      <c r="E165">
        <f>INT(D165/100)+1</f>
        <v>20</v>
      </c>
      <c r="F165">
        <v>2007</v>
      </c>
      <c r="G165" t="s">
        <v>12</v>
      </c>
      <c r="H165" t="s">
        <v>16</v>
      </c>
      <c r="I165" t="s">
        <v>14</v>
      </c>
      <c r="AL165" t="s">
        <v>260</v>
      </c>
      <c r="AM165" t="str">
        <f t="shared" si="5"/>
        <v>Jazz poetry</v>
      </c>
      <c r="AN165" t="str">
        <f t="shared" si="5"/>
        <v>Hughes</v>
      </c>
      <c r="AO165">
        <f t="shared" si="5"/>
        <v>1932</v>
      </c>
      <c r="AP165">
        <f t="shared" si="5"/>
        <v>20</v>
      </c>
      <c r="AQ165">
        <f t="shared" si="5"/>
        <v>1997</v>
      </c>
      <c r="AR165" t="str">
        <f t="shared" si="5"/>
        <v>United States</v>
      </c>
    </row>
    <row r="166" spans="1:44" x14ac:dyDescent="0.25">
      <c r="A166" t="str">
        <f>_xlfn.CONCAT(C166,D166)</f>
        <v>Hughes1952</v>
      </c>
      <c r="C166" t="s">
        <v>15</v>
      </c>
      <c r="D166">
        <v>1952</v>
      </c>
      <c r="E166">
        <f>INT(D166/100)+1</f>
        <v>20</v>
      </c>
      <c r="F166">
        <v>2017</v>
      </c>
      <c r="G166" t="s">
        <v>12</v>
      </c>
      <c r="H166" t="s">
        <v>16</v>
      </c>
      <c r="I166" t="s">
        <v>14</v>
      </c>
      <c r="AL166" t="s">
        <v>261</v>
      </c>
      <c r="AM166" t="str">
        <f t="shared" si="5"/>
        <v>Jazz poetry</v>
      </c>
      <c r="AN166" t="str">
        <f t="shared" si="5"/>
        <v>Hughes</v>
      </c>
      <c r="AO166">
        <f t="shared" si="5"/>
        <v>1942</v>
      </c>
      <c r="AP166">
        <f t="shared" si="5"/>
        <v>20</v>
      </c>
      <c r="AQ166">
        <f t="shared" si="5"/>
        <v>2007</v>
      </c>
      <c r="AR166" t="str">
        <f t="shared" si="5"/>
        <v>United States</v>
      </c>
    </row>
    <row r="167" spans="1:44" x14ac:dyDescent="0.25">
      <c r="A167" t="str">
        <f>_xlfn.CONCAT(C167,D167)</f>
        <v>Hughes1962</v>
      </c>
      <c r="C167" t="s">
        <v>15</v>
      </c>
      <c r="D167">
        <v>1962</v>
      </c>
      <c r="E167">
        <f>INT(D167/100)+1</f>
        <v>20</v>
      </c>
      <c r="F167">
        <v>2027</v>
      </c>
      <c r="G167" t="s">
        <v>12</v>
      </c>
      <c r="H167" t="s">
        <v>16</v>
      </c>
      <c r="I167" t="s">
        <v>14</v>
      </c>
      <c r="AL167" t="s">
        <v>262</v>
      </c>
      <c r="AM167" t="str">
        <f t="shared" si="5"/>
        <v>Jazz poetry</v>
      </c>
      <c r="AN167" t="str">
        <f t="shared" si="5"/>
        <v>Hughes</v>
      </c>
      <c r="AO167">
        <f t="shared" si="5"/>
        <v>1952</v>
      </c>
      <c r="AP167">
        <f t="shared" si="5"/>
        <v>20</v>
      </c>
      <c r="AQ167">
        <f t="shared" si="5"/>
        <v>2017</v>
      </c>
      <c r="AR167" t="str">
        <f t="shared" si="5"/>
        <v>United States</v>
      </c>
    </row>
    <row r="168" spans="1:44" x14ac:dyDescent="0.25">
      <c r="A168" t="str">
        <f>_xlfn.CONCAT(C168,D168)</f>
        <v>Hughes1972</v>
      </c>
      <c r="C168" t="s">
        <v>15</v>
      </c>
      <c r="D168">
        <v>1972</v>
      </c>
      <c r="E168">
        <f>INT(D168/100)+1</f>
        <v>20</v>
      </c>
      <c r="F168">
        <v>2037</v>
      </c>
      <c r="G168" t="s">
        <v>12</v>
      </c>
      <c r="H168" t="s">
        <v>16</v>
      </c>
      <c r="I168" t="s">
        <v>14</v>
      </c>
      <c r="AL168" t="s">
        <v>263</v>
      </c>
      <c r="AM168" t="str">
        <f t="shared" si="5"/>
        <v>Jazz poetry</v>
      </c>
      <c r="AN168" t="str">
        <f t="shared" si="5"/>
        <v>Hughes</v>
      </c>
      <c r="AO168">
        <f t="shared" si="5"/>
        <v>1962</v>
      </c>
      <c r="AP168">
        <f t="shared" si="5"/>
        <v>20</v>
      </c>
      <c r="AQ168">
        <f t="shared" si="5"/>
        <v>2027</v>
      </c>
      <c r="AR168" t="str">
        <f t="shared" si="5"/>
        <v>United States</v>
      </c>
    </row>
    <row r="169" spans="1:44" x14ac:dyDescent="0.25">
      <c r="A169" t="str">
        <f>_xlfn.CONCAT(C169,D169)</f>
        <v>Dickinson1900</v>
      </c>
      <c r="C169" t="s">
        <v>18</v>
      </c>
      <c r="D169">
        <v>1900</v>
      </c>
      <c r="E169">
        <f>INT(D169/100)+1</f>
        <v>20</v>
      </c>
      <c r="F169">
        <v>1956</v>
      </c>
      <c r="G169" t="s">
        <v>12</v>
      </c>
      <c r="H169" t="s">
        <v>19</v>
      </c>
      <c r="I169" t="s">
        <v>17</v>
      </c>
      <c r="AL169" t="s">
        <v>264</v>
      </c>
      <c r="AM169" t="str">
        <f t="shared" si="5"/>
        <v>Jazz poetry</v>
      </c>
      <c r="AN169" t="str">
        <f t="shared" si="5"/>
        <v>Hughes</v>
      </c>
      <c r="AO169">
        <f t="shared" si="5"/>
        <v>1972</v>
      </c>
      <c r="AP169">
        <f t="shared" si="5"/>
        <v>20</v>
      </c>
      <c r="AQ169">
        <f t="shared" si="5"/>
        <v>2037</v>
      </c>
      <c r="AR169" t="str">
        <f t="shared" si="5"/>
        <v>United States</v>
      </c>
    </row>
    <row r="170" spans="1:44" x14ac:dyDescent="0.25">
      <c r="A170" t="str">
        <f>_xlfn.CONCAT(C170,D170)</f>
        <v>Woolf1902</v>
      </c>
      <c r="C170" t="s">
        <v>77</v>
      </c>
      <c r="D170">
        <v>1902</v>
      </c>
      <c r="E170">
        <f>INT(D170/100)+1</f>
        <v>20</v>
      </c>
      <c r="F170">
        <v>1961</v>
      </c>
      <c r="G170" t="s">
        <v>8</v>
      </c>
      <c r="H170" t="s">
        <v>78</v>
      </c>
      <c r="I170" t="s">
        <v>76</v>
      </c>
      <c r="AL170" t="s">
        <v>265</v>
      </c>
      <c r="AM170" t="str">
        <f t="shared" si="5"/>
        <v>Lyric poetry</v>
      </c>
      <c r="AN170" t="str">
        <f t="shared" si="5"/>
        <v>Dickinson</v>
      </c>
      <c r="AO170">
        <f t="shared" si="5"/>
        <v>1900</v>
      </c>
      <c r="AP170">
        <f t="shared" si="5"/>
        <v>20</v>
      </c>
      <c r="AQ170">
        <f t="shared" si="5"/>
        <v>1956</v>
      </c>
      <c r="AR170" t="str">
        <f t="shared" si="5"/>
        <v>United States</v>
      </c>
    </row>
    <row r="171" spans="1:44" x14ac:dyDescent="0.25">
      <c r="A171" t="str">
        <f>_xlfn.CONCAT(C171,D171)</f>
        <v>Woolf1912</v>
      </c>
      <c r="C171" t="s">
        <v>77</v>
      </c>
      <c r="D171">
        <v>1912</v>
      </c>
      <c r="E171">
        <f>INT(D171/100)+1</f>
        <v>20</v>
      </c>
      <c r="F171">
        <v>1971</v>
      </c>
      <c r="G171" t="s">
        <v>8</v>
      </c>
      <c r="H171" t="s">
        <v>78</v>
      </c>
      <c r="I171" t="s">
        <v>76</v>
      </c>
      <c r="AL171" t="s">
        <v>266</v>
      </c>
      <c r="AM171" t="str">
        <f t="shared" si="5"/>
        <v>Modern literature</v>
      </c>
      <c r="AN171" t="str">
        <f t="shared" si="5"/>
        <v>Woolf</v>
      </c>
      <c r="AO171">
        <f t="shared" si="5"/>
        <v>1902</v>
      </c>
      <c r="AP171">
        <f t="shared" si="5"/>
        <v>20</v>
      </c>
      <c r="AQ171">
        <f t="shared" si="5"/>
        <v>1961</v>
      </c>
      <c r="AR171" t="str">
        <f t="shared" si="5"/>
        <v>England</v>
      </c>
    </row>
    <row r="172" spans="1:44" x14ac:dyDescent="0.25">
      <c r="A172" t="str">
        <f>_xlfn.CONCAT(C172,D172)</f>
        <v>Woolf1922</v>
      </c>
      <c r="C172" t="s">
        <v>77</v>
      </c>
      <c r="D172">
        <v>1922</v>
      </c>
      <c r="E172">
        <f>INT(D172/100)+1</f>
        <v>20</v>
      </c>
      <c r="F172">
        <v>1981</v>
      </c>
      <c r="G172" t="s">
        <v>8</v>
      </c>
      <c r="H172" t="s">
        <v>78</v>
      </c>
      <c r="I172" t="s">
        <v>76</v>
      </c>
      <c r="AL172" t="s">
        <v>267</v>
      </c>
      <c r="AM172" t="str">
        <f t="shared" si="5"/>
        <v>Modern literature</v>
      </c>
      <c r="AN172" t="str">
        <f t="shared" si="5"/>
        <v>Woolf</v>
      </c>
      <c r="AO172">
        <f t="shared" si="5"/>
        <v>1912</v>
      </c>
      <c r="AP172">
        <f t="shared" si="5"/>
        <v>20</v>
      </c>
      <c r="AQ172">
        <f t="shared" si="5"/>
        <v>1971</v>
      </c>
      <c r="AR172" t="str">
        <f t="shared" si="5"/>
        <v>England</v>
      </c>
    </row>
    <row r="173" spans="1:44" x14ac:dyDescent="0.25">
      <c r="A173" t="str">
        <f>_xlfn.CONCAT(C173,D173)</f>
        <v>Woolf1932</v>
      </c>
      <c r="C173" t="s">
        <v>77</v>
      </c>
      <c r="D173">
        <v>1932</v>
      </c>
      <c r="E173">
        <f>INT(D173/100)+1</f>
        <v>20</v>
      </c>
      <c r="F173">
        <v>1991</v>
      </c>
      <c r="G173" t="s">
        <v>8</v>
      </c>
      <c r="H173" t="s">
        <v>78</v>
      </c>
      <c r="I173" t="s">
        <v>76</v>
      </c>
      <c r="AL173" t="s">
        <v>268</v>
      </c>
      <c r="AM173" t="str">
        <f t="shared" si="5"/>
        <v>Modern literature</v>
      </c>
      <c r="AN173" t="str">
        <f t="shared" si="5"/>
        <v>Woolf</v>
      </c>
      <c r="AO173">
        <f t="shared" si="5"/>
        <v>1922</v>
      </c>
      <c r="AP173">
        <f t="shared" si="5"/>
        <v>20</v>
      </c>
      <c r="AQ173">
        <f t="shared" si="5"/>
        <v>1981</v>
      </c>
      <c r="AR173" t="str">
        <f t="shared" si="5"/>
        <v>England</v>
      </c>
    </row>
    <row r="174" spans="1:44" x14ac:dyDescent="0.25">
      <c r="A174" t="str">
        <f>_xlfn.CONCAT(C174,D174)</f>
        <v>Woolf1942</v>
      </c>
      <c r="C174" t="s">
        <v>77</v>
      </c>
      <c r="D174">
        <v>1942</v>
      </c>
      <c r="E174">
        <f>INT(D174/100)+1</f>
        <v>20</v>
      </c>
      <c r="F174">
        <v>2001</v>
      </c>
      <c r="G174" t="s">
        <v>8</v>
      </c>
      <c r="H174" t="s">
        <v>78</v>
      </c>
      <c r="I174" t="s">
        <v>76</v>
      </c>
      <c r="AL174" t="s">
        <v>269</v>
      </c>
      <c r="AM174" t="str">
        <f t="shared" si="5"/>
        <v>Modern literature</v>
      </c>
      <c r="AN174" t="str">
        <f t="shared" si="5"/>
        <v>Woolf</v>
      </c>
      <c r="AO174">
        <f t="shared" si="5"/>
        <v>1932</v>
      </c>
      <c r="AP174">
        <f t="shared" si="5"/>
        <v>20</v>
      </c>
      <c r="AQ174">
        <f t="shared" si="5"/>
        <v>1991</v>
      </c>
      <c r="AR174" t="str">
        <f t="shared" si="5"/>
        <v>England</v>
      </c>
    </row>
    <row r="175" spans="1:44" x14ac:dyDescent="0.25">
      <c r="A175" t="str">
        <f>_xlfn.CONCAT(C175,D175)</f>
        <v>Woolf1952</v>
      </c>
      <c r="C175" t="s">
        <v>77</v>
      </c>
      <c r="D175">
        <v>1952</v>
      </c>
      <c r="E175">
        <f>INT(D175/100)+1</f>
        <v>20</v>
      </c>
      <c r="F175">
        <v>2011</v>
      </c>
      <c r="G175" t="s">
        <v>8</v>
      </c>
      <c r="H175" t="s">
        <v>78</v>
      </c>
      <c r="I175" t="s">
        <v>76</v>
      </c>
      <c r="AL175" t="s">
        <v>270</v>
      </c>
      <c r="AM175" t="str">
        <f t="shared" si="5"/>
        <v>Modern literature</v>
      </c>
      <c r="AN175" t="str">
        <f t="shared" si="5"/>
        <v>Woolf</v>
      </c>
      <c r="AO175">
        <f t="shared" si="5"/>
        <v>1942</v>
      </c>
      <c r="AP175">
        <f t="shared" si="5"/>
        <v>20</v>
      </c>
      <c r="AQ175">
        <f t="shared" si="5"/>
        <v>2001</v>
      </c>
      <c r="AR175" t="str">
        <f t="shared" si="5"/>
        <v>England</v>
      </c>
    </row>
    <row r="176" spans="1:44" x14ac:dyDescent="0.25">
      <c r="A176" t="str">
        <f>_xlfn.CONCAT(C176,D176)</f>
        <v>Frost1904</v>
      </c>
      <c r="C176" t="s">
        <v>56</v>
      </c>
      <c r="D176">
        <v>1904</v>
      </c>
      <c r="E176">
        <f>INT(D176/100)+1</f>
        <v>20</v>
      </c>
      <c r="F176">
        <v>1993</v>
      </c>
      <c r="G176" t="s">
        <v>12</v>
      </c>
      <c r="H176" t="s">
        <v>57</v>
      </c>
      <c r="I176" t="s">
        <v>55</v>
      </c>
      <c r="AL176" t="s">
        <v>271</v>
      </c>
      <c r="AM176" t="str">
        <f t="shared" si="5"/>
        <v>Modern literature</v>
      </c>
      <c r="AN176" t="str">
        <f t="shared" si="5"/>
        <v>Woolf</v>
      </c>
      <c r="AO176">
        <f t="shared" si="5"/>
        <v>1952</v>
      </c>
      <c r="AP176">
        <f t="shared" si="5"/>
        <v>20</v>
      </c>
      <c r="AQ176">
        <f t="shared" si="5"/>
        <v>2011</v>
      </c>
      <c r="AR176" t="str">
        <f t="shared" si="5"/>
        <v>England</v>
      </c>
    </row>
    <row r="177" spans="1:44" x14ac:dyDescent="0.25">
      <c r="A177" t="str">
        <f>_xlfn.CONCAT(C177,D177)</f>
        <v>Frost1914</v>
      </c>
      <c r="C177" t="s">
        <v>56</v>
      </c>
      <c r="D177">
        <v>1914</v>
      </c>
      <c r="E177">
        <f>INT(D177/100)+1</f>
        <v>20</v>
      </c>
      <c r="F177">
        <v>2003</v>
      </c>
      <c r="G177" t="s">
        <v>12</v>
      </c>
      <c r="H177" t="s">
        <v>57</v>
      </c>
      <c r="I177" t="s">
        <v>55</v>
      </c>
      <c r="AL177" t="s">
        <v>272</v>
      </c>
      <c r="AM177" t="str">
        <f t="shared" si="5"/>
        <v>Poetry of rural life</v>
      </c>
      <c r="AN177" t="str">
        <f t="shared" si="5"/>
        <v>Frost</v>
      </c>
      <c r="AO177">
        <f t="shared" si="5"/>
        <v>1904</v>
      </c>
      <c r="AP177">
        <f t="shared" si="5"/>
        <v>20</v>
      </c>
      <c r="AQ177">
        <f t="shared" si="5"/>
        <v>1993</v>
      </c>
      <c r="AR177" t="str">
        <f t="shared" si="5"/>
        <v>United States</v>
      </c>
    </row>
    <row r="178" spans="1:44" x14ac:dyDescent="0.25">
      <c r="A178" t="str">
        <f>_xlfn.CONCAT(C178,D178)</f>
        <v>Frost1924</v>
      </c>
      <c r="C178" t="s">
        <v>56</v>
      </c>
      <c r="D178">
        <v>1924</v>
      </c>
      <c r="E178">
        <f>INT(D178/100)+1</f>
        <v>20</v>
      </c>
      <c r="F178">
        <v>2013</v>
      </c>
      <c r="G178" t="s">
        <v>12</v>
      </c>
      <c r="H178" t="s">
        <v>57</v>
      </c>
      <c r="I178" t="s">
        <v>55</v>
      </c>
      <c r="AL178" t="s">
        <v>273</v>
      </c>
      <c r="AM178" t="str">
        <f t="shared" si="5"/>
        <v>Poetry of rural life</v>
      </c>
      <c r="AN178" t="str">
        <f t="shared" si="5"/>
        <v>Frost</v>
      </c>
      <c r="AO178">
        <f t="shared" si="5"/>
        <v>1914</v>
      </c>
      <c r="AP178">
        <f t="shared" si="5"/>
        <v>20</v>
      </c>
      <c r="AQ178">
        <f t="shared" si="5"/>
        <v>2003</v>
      </c>
      <c r="AR178" t="str">
        <f t="shared" si="5"/>
        <v>United States</v>
      </c>
    </row>
    <row r="179" spans="1:44" x14ac:dyDescent="0.25">
      <c r="A179" t="str">
        <f>_xlfn.CONCAT(C179,D179)</f>
        <v>Frost1934</v>
      </c>
      <c r="C179" t="s">
        <v>56</v>
      </c>
      <c r="D179">
        <v>1934</v>
      </c>
      <c r="E179">
        <f>INT(D179/100)+1</f>
        <v>20</v>
      </c>
      <c r="F179">
        <v>2023</v>
      </c>
      <c r="G179" t="s">
        <v>12</v>
      </c>
      <c r="H179" t="s">
        <v>57</v>
      </c>
      <c r="I179" t="s">
        <v>55</v>
      </c>
      <c r="AL179" t="s">
        <v>274</v>
      </c>
      <c r="AM179" t="str">
        <f t="shared" si="5"/>
        <v>Poetry of rural life</v>
      </c>
      <c r="AN179" t="str">
        <f t="shared" si="5"/>
        <v>Frost</v>
      </c>
      <c r="AO179">
        <f t="shared" si="5"/>
        <v>1924</v>
      </c>
      <c r="AP179">
        <f t="shared" si="5"/>
        <v>20</v>
      </c>
      <c r="AQ179">
        <f t="shared" si="5"/>
        <v>2013</v>
      </c>
      <c r="AR179" t="str">
        <f t="shared" si="5"/>
        <v>United States</v>
      </c>
    </row>
    <row r="180" spans="1:44" x14ac:dyDescent="0.25">
      <c r="A180" t="str">
        <f>_xlfn.CONCAT(C180,D180)</f>
        <v>Frost1944</v>
      </c>
      <c r="C180" t="s">
        <v>56</v>
      </c>
      <c r="D180">
        <v>1944</v>
      </c>
      <c r="E180">
        <f>INT(D180/100)+1</f>
        <v>20</v>
      </c>
      <c r="F180">
        <v>2033</v>
      </c>
      <c r="G180" t="s">
        <v>12</v>
      </c>
      <c r="H180" t="s">
        <v>57</v>
      </c>
      <c r="I180" t="s">
        <v>55</v>
      </c>
      <c r="AL180" t="s">
        <v>275</v>
      </c>
      <c r="AM180" t="str">
        <f t="shared" si="5"/>
        <v>Poetry of rural life</v>
      </c>
      <c r="AN180" t="str">
        <f t="shared" si="5"/>
        <v>Frost</v>
      </c>
      <c r="AO180">
        <f t="shared" si="5"/>
        <v>1934</v>
      </c>
      <c r="AP180">
        <f t="shared" si="5"/>
        <v>20</v>
      </c>
      <c r="AQ180">
        <f t="shared" si="5"/>
        <v>2023</v>
      </c>
      <c r="AR180" t="str">
        <f t="shared" si="5"/>
        <v>United States</v>
      </c>
    </row>
    <row r="181" spans="1:44" x14ac:dyDescent="0.25">
      <c r="A181" t="str">
        <f>_xlfn.CONCAT(C181,D181)</f>
        <v>Neruda1904</v>
      </c>
      <c r="C181" t="s">
        <v>25</v>
      </c>
      <c r="D181">
        <v>1904</v>
      </c>
      <c r="E181">
        <f>INT(D181/100)+1</f>
        <v>20</v>
      </c>
      <c r="F181">
        <v>1973</v>
      </c>
      <c r="G181" t="s">
        <v>26</v>
      </c>
      <c r="H181" t="s">
        <v>27</v>
      </c>
      <c r="I181" t="s">
        <v>24</v>
      </c>
      <c r="AL181" t="s">
        <v>276</v>
      </c>
      <c r="AM181" t="str">
        <f t="shared" si="5"/>
        <v>Poetry of rural life</v>
      </c>
      <c r="AN181" t="str">
        <f t="shared" si="5"/>
        <v>Frost</v>
      </c>
      <c r="AO181">
        <f t="shared" si="5"/>
        <v>1944</v>
      </c>
      <c r="AP181">
        <f t="shared" si="5"/>
        <v>20</v>
      </c>
      <c r="AQ181">
        <f t="shared" si="5"/>
        <v>2033</v>
      </c>
      <c r="AR181" t="str">
        <f t="shared" si="5"/>
        <v>United States</v>
      </c>
    </row>
    <row r="182" spans="1:44" x14ac:dyDescent="0.25">
      <c r="A182" t="str">
        <f>_xlfn.CONCAT(C182,D182)</f>
        <v>GarcĂ­a Lorca1908</v>
      </c>
      <c r="C182" t="s">
        <v>86</v>
      </c>
      <c r="D182">
        <v>1908</v>
      </c>
      <c r="E182">
        <f>INT(D182/100)+1</f>
        <v>20</v>
      </c>
      <c r="F182">
        <v>1946</v>
      </c>
      <c r="G182" t="s">
        <v>87</v>
      </c>
      <c r="H182" t="s">
        <v>27</v>
      </c>
      <c r="I182" t="s">
        <v>85</v>
      </c>
      <c r="AL182" t="s">
        <v>277</v>
      </c>
      <c r="AM182" t="str">
        <f t="shared" si="5"/>
        <v>Surrealism</v>
      </c>
      <c r="AN182" t="str">
        <f t="shared" si="5"/>
        <v>Neruda</v>
      </c>
      <c r="AO182">
        <f t="shared" si="5"/>
        <v>1904</v>
      </c>
      <c r="AP182">
        <f t="shared" si="5"/>
        <v>20</v>
      </c>
      <c r="AQ182">
        <f t="shared" si="5"/>
        <v>1973</v>
      </c>
      <c r="AR182" t="str">
        <f t="shared" si="5"/>
        <v>Chile</v>
      </c>
    </row>
    <row r="183" spans="1:44" x14ac:dyDescent="0.25">
      <c r="A183" t="str">
        <f>_xlfn.CONCAT(C183,D183)</f>
        <v>Neruda1914</v>
      </c>
      <c r="C183" t="s">
        <v>25</v>
      </c>
      <c r="D183">
        <v>1914</v>
      </c>
      <c r="E183">
        <f>INT(D183/100)+1</f>
        <v>20</v>
      </c>
      <c r="F183">
        <v>1983</v>
      </c>
      <c r="G183" t="s">
        <v>26</v>
      </c>
      <c r="H183" t="s">
        <v>27</v>
      </c>
      <c r="I183" t="s">
        <v>24</v>
      </c>
      <c r="AL183" t="s">
        <v>278</v>
      </c>
      <c r="AM183" t="str">
        <f t="shared" si="5"/>
        <v>Surrealism</v>
      </c>
      <c r="AN183" t="str">
        <f t="shared" si="5"/>
        <v>GarcĂ­a Lorca</v>
      </c>
      <c r="AO183">
        <f t="shared" si="5"/>
        <v>1908</v>
      </c>
      <c r="AP183">
        <f t="shared" si="5"/>
        <v>20</v>
      </c>
      <c r="AQ183">
        <f t="shared" si="5"/>
        <v>1946</v>
      </c>
      <c r="AR183" t="str">
        <f t="shared" si="5"/>
        <v>Spain</v>
      </c>
    </row>
    <row r="184" spans="1:44" x14ac:dyDescent="0.25">
      <c r="A184" t="str">
        <f>_xlfn.CONCAT(C184,D184)</f>
        <v>GarcĂ­a Lorca1918</v>
      </c>
      <c r="C184" t="s">
        <v>86</v>
      </c>
      <c r="D184">
        <v>1918</v>
      </c>
      <c r="E184">
        <f>INT(D184/100)+1</f>
        <v>20</v>
      </c>
      <c r="F184">
        <v>1956</v>
      </c>
      <c r="G184" t="s">
        <v>87</v>
      </c>
      <c r="H184" t="s">
        <v>27</v>
      </c>
      <c r="I184" t="s">
        <v>85</v>
      </c>
      <c r="AL184" t="s">
        <v>279</v>
      </c>
      <c r="AM184" t="str">
        <f t="shared" si="5"/>
        <v>Surrealism</v>
      </c>
      <c r="AN184" t="str">
        <f t="shared" si="5"/>
        <v>Neruda</v>
      </c>
      <c r="AO184">
        <f t="shared" si="5"/>
        <v>1914</v>
      </c>
      <c r="AP184">
        <f t="shared" si="5"/>
        <v>20</v>
      </c>
      <c r="AQ184">
        <f t="shared" si="5"/>
        <v>1983</v>
      </c>
      <c r="AR184" t="str">
        <f t="shared" si="5"/>
        <v>Chile</v>
      </c>
    </row>
    <row r="185" spans="1:44" x14ac:dyDescent="0.25">
      <c r="A185" t="str">
        <f>_xlfn.CONCAT(C185,D185)</f>
        <v>Neruda1924</v>
      </c>
      <c r="C185" t="s">
        <v>25</v>
      </c>
      <c r="D185">
        <v>1924</v>
      </c>
      <c r="E185">
        <f>INT(D185/100)+1</f>
        <v>20</v>
      </c>
      <c r="F185">
        <v>1993</v>
      </c>
      <c r="G185" t="s">
        <v>26</v>
      </c>
      <c r="H185" t="s">
        <v>27</v>
      </c>
      <c r="I185" t="s">
        <v>24</v>
      </c>
      <c r="AL185" t="s">
        <v>280</v>
      </c>
      <c r="AM185" t="str">
        <f t="shared" si="5"/>
        <v>Surrealism</v>
      </c>
      <c r="AN185" t="str">
        <f t="shared" si="5"/>
        <v>GarcĂ­a Lorca</v>
      </c>
      <c r="AO185">
        <f t="shared" si="5"/>
        <v>1918</v>
      </c>
      <c r="AP185">
        <f t="shared" si="5"/>
        <v>20</v>
      </c>
      <c r="AQ185">
        <f t="shared" si="5"/>
        <v>1956</v>
      </c>
      <c r="AR185" t="str">
        <f t="shared" si="5"/>
        <v>Spain</v>
      </c>
    </row>
    <row r="186" spans="1:44" x14ac:dyDescent="0.25">
      <c r="A186" t="str">
        <f>_xlfn.CONCAT(C186,D186)</f>
        <v>GarcĂ­a Lorca1928</v>
      </c>
      <c r="C186" t="s">
        <v>86</v>
      </c>
      <c r="D186">
        <v>1928</v>
      </c>
      <c r="E186">
        <f>INT(D186/100)+1</f>
        <v>20</v>
      </c>
      <c r="F186">
        <v>1966</v>
      </c>
      <c r="G186" t="s">
        <v>87</v>
      </c>
      <c r="H186" t="s">
        <v>27</v>
      </c>
      <c r="I186" t="s">
        <v>85</v>
      </c>
      <c r="AL186" t="s">
        <v>281</v>
      </c>
      <c r="AM186" t="str">
        <f t="shared" si="5"/>
        <v>Surrealism</v>
      </c>
      <c r="AN186" t="str">
        <f t="shared" si="5"/>
        <v>Neruda</v>
      </c>
      <c r="AO186">
        <f t="shared" si="5"/>
        <v>1924</v>
      </c>
      <c r="AP186">
        <f t="shared" si="5"/>
        <v>20</v>
      </c>
      <c r="AQ186">
        <f t="shared" si="5"/>
        <v>1993</v>
      </c>
      <c r="AR186" t="str">
        <f t="shared" si="5"/>
        <v>Chile</v>
      </c>
    </row>
    <row r="187" spans="1:44" x14ac:dyDescent="0.25">
      <c r="A187" t="str">
        <f>_xlfn.CONCAT(C187,D187)</f>
        <v>Neruda1934</v>
      </c>
      <c r="C187" t="s">
        <v>25</v>
      </c>
      <c r="D187">
        <v>1934</v>
      </c>
      <c r="E187">
        <f>INT(D187/100)+1</f>
        <v>20</v>
      </c>
      <c r="F187">
        <v>2003</v>
      </c>
      <c r="G187" t="s">
        <v>26</v>
      </c>
      <c r="H187" t="s">
        <v>27</v>
      </c>
      <c r="I187" t="s">
        <v>24</v>
      </c>
      <c r="AL187" t="s">
        <v>282</v>
      </c>
      <c r="AM187" t="str">
        <f t="shared" si="5"/>
        <v>Surrealism</v>
      </c>
      <c r="AN187" t="str">
        <f t="shared" si="5"/>
        <v>GarcĂ­a Lorca</v>
      </c>
      <c r="AO187">
        <f t="shared" si="5"/>
        <v>1928</v>
      </c>
      <c r="AP187">
        <f t="shared" si="5"/>
        <v>20</v>
      </c>
      <c r="AQ187">
        <f t="shared" si="5"/>
        <v>1966</v>
      </c>
      <c r="AR187" t="str">
        <f t="shared" si="5"/>
        <v>Spain</v>
      </c>
    </row>
    <row r="188" spans="1:44" x14ac:dyDescent="0.25">
      <c r="A188" t="str">
        <f>_xlfn.CONCAT(C188,D188)</f>
        <v>GarcĂ­a Lorca1938</v>
      </c>
      <c r="C188" t="s">
        <v>86</v>
      </c>
      <c r="D188">
        <v>1938</v>
      </c>
      <c r="E188">
        <f>INT(D188/100)+1</f>
        <v>20</v>
      </c>
      <c r="F188">
        <v>1976</v>
      </c>
      <c r="G188" t="s">
        <v>87</v>
      </c>
      <c r="H188" t="s">
        <v>27</v>
      </c>
      <c r="I188" t="s">
        <v>85</v>
      </c>
      <c r="AL188" t="s">
        <v>283</v>
      </c>
      <c r="AM188" t="str">
        <f t="shared" si="5"/>
        <v>Surrealism</v>
      </c>
      <c r="AN188" t="str">
        <f t="shared" si="5"/>
        <v>Neruda</v>
      </c>
      <c r="AO188">
        <f t="shared" si="5"/>
        <v>1934</v>
      </c>
      <c r="AP188">
        <f t="shared" si="5"/>
        <v>20</v>
      </c>
      <c r="AQ188">
        <f t="shared" si="5"/>
        <v>2003</v>
      </c>
      <c r="AR188" t="str">
        <f t="shared" si="5"/>
        <v>Chile</v>
      </c>
    </row>
    <row r="189" spans="1:44" x14ac:dyDescent="0.25">
      <c r="A189" t="str">
        <f>_xlfn.CONCAT(C189,D189)</f>
        <v>Neruda1944</v>
      </c>
      <c r="C189" t="s">
        <v>25</v>
      </c>
      <c r="D189">
        <v>1944</v>
      </c>
      <c r="E189">
        <f>INT(D189/100)+1</f>
        <v>20</v>
      </c>
      <c r="F189">
        <v>2013</v>
      </c>
      <c r="G189" t="s">
        <v>26</v>
      </c>
      <c r="H189" t="s">
        <v>27</v>
      </c>
      <c r="I189" t="s">
        <v>24</v>
      </c>
      <c r="AL189" t="s">
        <v>284</v>
      </c>
      <c r="AM189" t="str">
        <f t="shared" si="5"/>
        <v>Surrealism</v>
      </c>
      <c r="AN189" t="str">
        <f t="shared" si="5"/>
        <v>GarcĂ­a Lorca</v>
      </c>
      <c r="AO189">
        <f t="shared" si="5"/>
        <v>1938</v>
      </c>
      <c r="AP189">
        <f t="shared" si="5"/>
        <v>20</v>
      </c>
      <c r="AQ189">
        <f t="shared" si="5"/>
        <v>1976</v>
      </c>
      <c r="AR189" t="str">
        <f t="shared" si="5"/>
        <v>Spain</v>
      </c>
    </row>
    <row r="190" spans="1:44" x14ac:dyDescent="0.25">
      <c r="A190" t="str">
        <f>_xlfn.CONCAT(C190,D190)</f>
        <v>GarcĂ­a Lorca1948</v>
      </c>
      <c r="C190" t="s">
        <v>86</v>
      </c>
      <c r="D190">
        <v>1948</v>
      </c>
      <c r="E190">
        <f>INT(D190/100)+1</f>
        <v>20</v>
      </c>
      <c r="F190">
        <v>1986</v>
      </c>
      <c r="G190" t="s">
        <v>87</v>
      </c>
      <c r="H190" t="s">
        <v>27</v>
      </c>
      <c r="I190" t="s">
        <v>85</v>
      </c>
      <c r="AL190" t="s">
        <v>285</v>
      </c>
      <c r="AM190" t="str">
        <f t="shared" si="5"/>
        <v>Surrealism</v>
      </c>
      <c r="AN190" t="str">
        <f t="shared" si="5"/>
        <v>Neruda</v>
      </c>
      <c r="AO190">
        <f t="shared" si="5"/>
        <v>1944</v>
      </c>
      <c r="AP190">
        <f t="shared" si="5"/>
        <v>20</v>
      </c>
      <c r="AQ190">
        <f t="shared" si="5"/>
        <v>2013</v>
      </c>
      <c r="AR190" t="str">
        <f t="shared" si="5"/>
        <v>Chile</v>
      </c>
    </row>
    <row r="191" spans="1:44" x14ac:dyDescent="0.25">
      <c r="A191" t="str">
        <f>_xlfn.CONCAT(C191,D191)</f>
        <v>Neruda1954</v>
      </c>
      <c r="C191" t="s">
        <v>25</v>
      </c>
      <c r="D191">
        <v>1954</v>
      </c>
      <c r="E191">
        <f>INT(D191/100)+1</f>
        <v>20</v>
      </c>
      <c r="F191">
        <v>2023</v>
      </c>
      <c r="G191" t="s">
        <v>26</v>
      </c>
      <c r="H191" t="s">
        <v>27</v>
      </c>
      <c r="I191" t="s">
        <v>24</v>
      </c>
      <c r="AL191" t="s">
        <v>286</v>
      </c>
      <c r="AM191" t="str">
        <f t="shared" si="5"/>
        <v>Surrealism</v>
      </c>
      <c r="AN191" t="str">
        <f t="shared" si="5"/>
        <v>GarcĂ­a Lorca</v>
      </c>
      <c r="AO191">
        <f t="shared" si="5"/>
        <v>1948</v>
      </c>
      <c r="AP191">
        <f t="shared" si="5"/>
        <v>20</v>
      </c>
      <c r="AQ191">
        <f t="shared" si="5"/>
        <v>1986</v>
      </c>
      <c r="AR191" t="str">
        <f t="shared" si="5"/>
        <v>Spain</v>
      </c>
    </row>
    <row r="192" spans="1:44" x14ac:dyDescent="0.25">
      <c r="A192" t="str">
        <f>_xlfn.CONCAT(C192,D192)</f>
        <v>GarcĂ­a Lorca1958</v>
      </c>
      <c r="C192" t="s">
        <v>86</v>
      </c>
      <c r="D192">
        <v>1958</v>
      </c>
      <c r="E192">
        <f>INT(D192/100)+1</f>
        <v>20</v>
      </c>
      <c r="F192">
        <v>1996</v>
      </c>
      <c r="G192" t="s">
        <v>87</v>
      </c>
      <c r="H192" t="s">
        <v>27</v>
      </c>
      <c r="I192" t="s">
        <v>85</v>
      </c>
      <c r="AL192" t="s">
        <v>287</v>
      </c>
      <c r="AM192" t="str">
        <f t="shared" si="5"/>
        <v>Surrealism</v>
      </c>
      <c r="AN192" t="str">
        <f t="shared" si="5"/>
        <v>Neruda</v>
      </c>
      <c r="AO192">
        <f t="shared" si="5"/>
        <v>1954</v>
      </c>
      <c r="AP192">
        <f t="shared" si="5"/>
        <v>20</v>
      </c>
      <c r="AQ192">
        <f t="shared" si="5"/>
        <v>2023</v>
      </c>
      <c r="AR192" t="str">
        <f t="shared" si="5"/>
        <v>Chile</v>
      </c>
    </row>
    <row r="193" spans="1:44" x14ac:dyDescent="0.25">
      <c r="A193" t="str">
        <f>_xlfn.CONCAT(C193,D193)</f>
        <v>Neruda1964</v>
      </c>
      <c r="C193" t="s">
        <v>25</v>
      </c>
      <c r="D193">
        <v>1964</v>
      </c>
      <c r="E193">
        <f>INT(D193/100)+1</f>
        <v>20</v>
      </c>
      <c r="F193">
        <v>2033</v>
      </c>
      <c r="G193" t="s">
        <v>26</v>
      </c>
      <c r="H193" t="s">
        <v>27</v>
      </c>
      <c r="I193" t="s">
        <v>24</v>
      </c>
      <c r="AL193" t="s">
        <v>288</v>
      </c>
      <c r="AM193" t="str">
        <f t="shared" si="5"/>
        <v>Surrealism</v>
      </c>
      <c r="AN193" t="str">
        <f t="shared" si="5"/>
        <v>GarcĂ­a Lorca</v>
      </c>
      <c r="AO193">
        <f t="shared" si="5"/>
        <v>1958</v>
      </c>
      <c r="AP193">
        <f t="shared" si="5"/>
        <v>20</v>
      </c>
      <c r="AQ193">
        <f t="shared" si="5"/>
        <v>1996</v>
      </c>
      <c r="AR193" t="str">
        <f t="shared" si="5"/>
        <v>Spain</v>
      </c>
    </row>
    <row r="194" spans="1:44" x14ac:dyDescent="0.25">
      <c r="A194" t="str">
        <f>_xlfn.CONCAT(C194,D194)</f>
        <v>GarcĂ­a Lorca1968</v>
      </c>
      <c r="C194" t="s">
        <v>86</v>
      </c>
      <c r="D194">
        <v>1968</v>
      </c>
      <c r="E194">
        <f>INT(D194/100)+1</f>
        <v>20</v>
      </c>
      <c r="F194">
        <v>2006</v>
      </c>
      <c r="G194" t="s">
        <v>87</v>
      </c>
      <c r="H194" t="s">
        <v>27</v>
      </c>
      <c r="I194" t="s">
        <v>85</v>
      </c>
      <c r="AL194" t="s">
        <v>289</v>
      </c>
      <c r="AM194" t="str">
        <f t="shared" si="5"/>
        <v>Surrealism</v>
      </c>
      <c r="AN194" t="str">
        <f t="shared" si="5"/>
        <v>Neruda</v>
      </c>
      <c r="AO194">
        <f t="shared" si="5"/>
        <v>1964</v>
      </c>
      <c r="AP194">
        <f t="shared" si="5"/>
        <v>20</v>
      </c>
      <c r="AQ194">
        <f t="shared" si="5"/>
        <v>2033</v>
      </c>
      <c r="AR194" t="str">
        <f t="shared" si="5"/>
        <v>Chile</v>
      </c>
    </row>
    <row r="195" spans="1:44" x14ac:dyDescent="0.25">
      <c r="A195" t="str">
        <f>_xlfn.CONCAT(C195,D195)</f>
        <v>Neruda1974</v>
      </c>
      <c r="C195" t="s">
        <v>25</v>
      </c>
      <c r="D195">
        <v>1974</v>
      </c>
      <c r="E195">
        <f>INT(D195/100)+1</f>
        <v>20</v>
      </c>
      <c r="F195">
        <v>2043</v>
      </c>
      <c r="G195" t="s">
        <v>26</v>
      </c>
      <c r="H195" t="s">
        <v>27</v>
      </c>
      <c r="I195" t="s">
        <v>24</v>
      </c>
      <c r="AL195" t="s">
        <v>290</v>
      </c>
      <c r="AM195" t="str">
        <f t="shared" si="5"/>
        <v>Surrealism</v>
      </c>
      <c r="AN195" t="str">
        <f t="shared" si="5"/>
        <v>GarcĂ­a Lorca</v>
      </c>
      <c r="AO195">
        <f t="shared" si="5"/>
        <v>1968</v>
      </c>
      <c r="AP195">
        <f t="shared" si="5"/>
        <v>20</v>
      </c>
      <c r="AQ195">
        <f t="shared" si="5"/>
        <v>2006</v>
      </c>
      <c r="AR195" t="str">
        <f t="shared" si="5"/>
        <v>Spain</v>
      </c>
    </row>
    <row r="196" spans="1:44" x14ac:dyDescent="0.25">
      <c r="A196" t="str">
        <f>_xlfn.CONCAT(C196,D196)</f>
        <v>Rimbaud1904</v>
      </c>
      <c r="C196" t="s">
        <v>80</v>
      </c>
      <c r="D196">
        <v>1904</v>
      </c>
      <c r="E196">
        <f>INT(D196/100)+1</f>
        <v>20</v>
      </c>
      <c r="F196">
        <v>1941</v>
      </c>
      <c r="G196" t="s">
        <v>50</v>
      </c>
      <c r="H196" t="s">
        <v>51</v>
      </c>
      <c r="I196" t="s">
        <v>79</v>
      </c>
      <c r="AL196" t="s">
        <v>291</v>
      </c>
      <c r="AM196" t="str">
        <f t="shared" si="5"/>
        <v>Surrealism</v>
      </c>
      <c r="AN196" t="str">
        <f t="shared" si="5"/>
        <v>Neruda</v>
      </c>
      <c r="AO196">
        <f t="shared" si="5"/>
        <v>1974</v>
      </c>
      <c r="AP196">
        <f t="shared" si="5"/>
        <v>20</v>
      </c>
      <c r="AQ196">
        <f t="shared" si="5"/>
        <v>2043</v>
      </c>
      <c r="AR196" t="str">
        <f t="shared" si="5"/>
        <v>Chile</v>
      </c>
    </row>
    <row r="197" spans="1:44" x14ac:dyDescent="0.25">
      <c r="A197" t="str">
        <f>_xlfn.CONCAT(C197,D197)</f>
        <v>Rimbaud1914</v>
      </c>
      <c r="C197" t="s">
        <v>80</v>
      </c>
      <c r="D197">
        <v>1914</v>
      </c>
      <c r="E197">
        <f>INT(D197/100)+1</f>
        <v>20</v>
      </c>
      <c r="F197">
        <v>1951</v>
      </c>
      <c r="G197" t="s">
        <v>50</v>
      </c>
      <c r="H197" t="s">
        <v>51</v>
      </c>
      <c r="I197" t="s">
        <v>79</v>
      </c>
      <c r="AL197" t="s">
        <v>292</v>
      </c>
      <c r="AM197" t="str">
        <f t="shared" si="5"/>
        <v>Symbolism</v>
      </c>
      <c r="AN197" t="str">
        <f t="shared" si="5"/>
        <v>Rimbaud</v>
      </c>
      <c r="AO197">
        <f t="shared" si="5"/>
        <v>1904</v>
      </c>
      <c r="AP197">
        <f t="shared" si="5"/>
        <v>20</v>
      </c>
      <c r="AQ197">
        <f t="shared" si="5"/>
        <v>1941</v>
      </c>
      <c r="AR197" t="str">
        <f t="shared" si="5"/>
        <v>France</v>
      </c>
    </row>
    <row r="198" spans="1:44" x14ac:dyDescent="0.25">
      <c r="A198" t="str">
        <f>_xlfn.CONCAT(C198,D198)</f>
        <v>Rimbaud1924</v>
      </c>
      <c r="C198" t="s">
        <v>80</v>
      </c>
      <c r="D198">
        <v>1924</v>
      </c>
      <c r="E198">
        <f>INT(D198/100)+1</f>
        <v>20</v>
      </c>
      <c r="F198">
        <v>1961</v>
      </c>
      <c r="G198" t="s">
        <v>50</v>
      </c>
      <c r="H198" t="s">
        <v>51</v>
      </c>
      <c r="I198" t="s">
        <v>79</v>
      </c>
      <c r="AL198" t="s">
        <v>293</v>
      </c>
      <c r="AM198" t="str">
        <f t="shared" si="5"/>
        <v>Symbolism</v>
      </c>
      <c r="AN198" t="str">
        <f t="shared" si="5"/>
        <v>Rimbaud</v>
      </c>
      <c r="AO198">
        <f t="shared" si="5"/>
        <v>1914</v>
      </c>
      <c r="AP198">
        <f t="shared" si="5"/>
        <v>20</v>
      </c>
      <c r="AQ198">
        <f t="shared" si="5"/>
        <v>1951</v>
      </c>
      <c r="AR198" t="str">
        <f t="shared" si="5"/>
        <v>France</v>
      </c>
    </row>
    <row r="199" spans="1:44" x14ac:dyDescent="0.25">
      <c r="A199" t="str">
        <f>_xlfn.CONCAT(C199,D199)</f>
        <v>Plath2002</v>
      </c>
      <c r="C199" t="s">
        <v>11</v>
      </c>
      <c r="D199">
        <v>2002</v>
      </c>
      <c r="E199">
        <f>INT(D199/100)+1</f>
        <v>21</v>
      </c>
      <c r="F199">
        <v>2033</v>
      </c>
      <c r="G199" t="s">
        <v>12</v>
      </c>
      <c r="H199" t="s">
        <v>13</v>
      </c>
      <c r="I199" t="s">
        <v>10</v>
      </c>
      <c r="AL199" t="s">
        <v>294</v>
      </c>
      <c r="AM199" t="str">
        <f t="shared" ref="AM199:AR202" si="6">VLOOKUP($AL199,$A$2:$I$209,AM$2,FALSE)</f>
        <v>Symbolism</v>
      </c>
      <c r="AN199" t="str">
        <f t="shared" si="6"/>
        <v>Rimbaud</v>
      </c>
      <c r="AO199">
        <f t="shared" si="6"/>
        <v>1924</v>
      </c>
      <c r="AP199">
        <f t="shared" si="6"/>
        <v>20</v>
      </c>
      <c r="AQ199">
        <f t="shared" si="6"/>
        <v>1961</v>
      </c>
      <c r="AR199" t="str">
        <f t="shared" si="6"/>
        <v>France</v>
      </c>
    </row>
    <row r="200" spans="1:44" x14ac:dyDescent="0.25">
      <c r="A200" t="str">
        <f>_xlfn.CONCAT(C200,D200)</f>
        <v>GlĂĽck2003</v>
      </c>
      <c r="C200" t="s">
        <v>53</v>
      </c>
      <c r="D200">
        <v>2003</v>
      </c>
      <c r="E200">
        <f>INT(D200/100)+1</f>
        <v>21</v>
      </c>
      <c r="F200">
        <v>2080</v>
      </c>
      <c r="G200" t="s">
        <v>12</v>
      </c>
      <c r="H200" t="s">
        <v>54</v>
      </c>
      <c r="I200" t="s">
        <v>52</v>
      </c>
      <c r="AL200" t="s">
        <v>295</v>
      </c>
      <c r="AM200" t="str">
        <f t="shared" si="6"/>
        <v>Confessional poetry</v>
      </c>
      <c r="AN200" t="str">
        <f t="shared" si="6"/>
        <v>Plath</v>
      </c>
      <c r="AO200">
        <f t="shared" si="6"/>
        <v>2002</v>
      </c>
      <c r="AP200">
        <f t="shared" si="6"/>
        <v>21</v>
      </c>
      <c r="AQ200">
        <f t="shared" si="6"/>
        <v>2033</v>
      </c>
      <c r="AR200" t="str">
        <f t="shared" si="6"/>
        <v>United States</v>
      </c>
    </row>
    <row r="201" spans="1:44" x14ac:dyDescent="0.25">
      <c r="A201" t="str">
        <f>_xlfn.CONCAT(C201,D201)</f>
        <v>GlĂĽck2013</v>
      </c>
      <c r="C201" t="s">
        <v>53</v>
      </c>
      <c r="D201">
        <v>2013</v>
      </c>
      <c r="E201">
        <f>INT(D201/100)+1</f>
        <v>21</v>
      </c>
      <c r="F201">
        <v>2090</v>
      </c>
      <c r="G201" t="s">
        <v>12</v>
      </c>
      <c r="H201" t="s">
        <v>54</v>
      </c>
      <c r="I201" t="s">
        <v>52</v>
      </c>
      <c r="AL201" t="s">
        <v>296</v>
      </c>
      <c r="AM201" t="str">
        <f t="shared" si="6"/>
        <v>Contemporary poetry</v>
      </c>
      <c r="AN201" t="str">
        <f t="shared" si="6"/>
        <v>GlĂĽck</v>
      </c>
      <c r="AO201">
        <f t="shared" si="6"/>
        <v>2003</v>
      </c>
      <c r="AP201">
        <f t="shared" si="6"/>
        <v>21</v>
      </c>
      <c r="AQ201">
        <f t="shared" si="6"/>
        <v>2080</v>
      </c>
      <c r="AR201" t="str">
        <f t="shared" si="6"/>
        <v>United States</v>
      </c>
    </row>
    <row r="202" spans="1:44" x14ac:dyDescent="0.25">
      <c r="A202" t="str">
        <f>_xlfn.CONCAT(C202,D202)</f>
        <v>GlĂĽck2003</v>
      </c>
      <c r="C202" t="s">
        <v>53</v>
      </c>
      <c r="D202">
        <v>2003</v>
      </c>
      <c r="E202">
        <v>23</v>
      </c>
      <c r="F202">
        <v>2080</v>
      </c>
      <c r="G202" t="s">
        <v>12</v>
      </c>
      <c r="H202" t="s">
        <v>54</v>
      </c>
      <c r="I202" t="s">
        <v>52</v>
      </c>
      <c r="AL202" t="s">
        <v>297</v>
      </c>
      <c r="AM202" t="str">
        <f t="shared" si="6"/>
        <v>Contemporary poetry</v>
      </c>
      <c r="AN202" t="str">
        <f t="shared" si="6"/>
        <v>GlĂĽck</v>
      </c>
      <c r="AO202">
        <f t="shared" si="6"/>
        <v>2013</v>
      </c>
      <c r="AP202">
        <f t="shared" si="6"/>
        <v>21</v>
      </c>
      <c r="AQ202">
        <f t="shared" si="6"/>
        <v>2090</v>
      </c>
      <c r="AR202" t="str">
        <f t="shared" si="6"/>
        <v>United States</v>
      </c>
    </row>
    <row r="203" spans="1:44" x14ac:dyDescent="0.25">
      <c r="A203" t="str">
        <f>_xlfn.CONCAT(C203,D203)</f>
        <v>GlĂĽck2013</v>
      </c>
      <c r="C203" t="s">
        <v>53</v>
      </c>
      <c r="D203">
        <v>2013</v>
      </c>
      <c r="E203">
        <v>23</v>
      </c>
      <c r="F203">
        <v>2090</v>
      </c>
      <c r="G203" t="s">
        <v>12</v>
      </c>
      <c r="H203" t="s">
        <v>54</v>
      </c>
      <c r="I203" t="s">
        <v>52</v>
      </c>
    </row>
    <row r="204" spans="1:44" x14ac:dyDescent="0.25">
      <c r="A204" t="str">
        <f>_xlfn.CONCAT(C204,D204)</f>
        <v>Wordsworth1790</v>
      </c>
      <c r="C204" t="s">
        <v>7</v>
      </c>
      <c r="D204">
        <v>1790</v>
      </c>
      <c r="E204">
        <v>23</v>
      </c>
      <c r="F204">
        <v>1870</v>
      </c>
      <c r="G204" t="s">
        <v>8</v>
      </c>
      <c r="H204" t="s">
        <v>9</v>
      </c>
      <c r="I204" t="s">
        <v>6</v>
      </c>
    </row>
    <row r="205" spans="1:44" x14ac:dyDescent="0.25">
      <c r="A205" t="str">
        <f>_xlfn.CONCAT(C205,D205)</f>
        <v>Goethe1749</v>
      </c>
      <c r="C205" t="s">
        <v>82</v>
      </c>
      <c r="D205">
        <v>1749</v>
      </c>
      <c r="E205">
        <v>23</v>
      </c>
      <c r="F205">
        <v>1832</v>
      </c>
      <c r="G205" t="s">
        <v>83</v>
      </c>
      <c r="H205" t="s">
        <v>27</v>
      </c>
      <c r="I205" t="s">
        <v>81</v>
      </c>
    </row>
    <row r="206" spans="1:44" x14ac:dyDescent="0.25">
      <c r="A206" t="str">
        <f>_xlfn.CONCAT(C206,D206)</f>
        <v>Goethe1759</v>
      </c>
      <c r="C206" t="s">
        <v>82</v>
      </c>
      <c r="D206">
        <v>1759</v>
      </c>
      <c r="E206">
        <v>23</v>
      </c>
      <c r="F206">
        <v>1842</v>
      </c>
      <c r="G206" t="s">
        <v>83</v>
      </c>
      <c r="H206" t="s">
        <v>27</v>
      </c>
      <c r="I206" t="s">
        <v>81</v>
      </c>
    </row>
    <row r="207" spans="1:44" x14ac:dyDescent="0.25">
      <c r="A207" t="str">
        <f>_xlfn.CONCAT(C207,D207)</f>
        <v>Goethe1769</v>
      </c>
      <c r="C207" t="s">
        <v>82</v>
      </c>
      <c r="D207">
        <v>1769</v>
      </c>
      <c r="E207">
        <v>23</v>
      </c>
      <c r="F207">
        <v>1852</v>
      </c>
      <c r="G207" t="s">
        <v>83</v>
      </c>
      <c r="H207" t="s">
        <v>84</v>
      </c>
      <c r="I207" t="s">
        <v>81</v>
      </c>
    </row>
    <row r="208" spans="1:44" x14ac:dyDescent="0.25">
      <c r="A208" t="str">
        <f>_xlfn.CONCAT(C208,D208)</f>
        <v>Goethe1779</v>
      </c>
      <c r="C208" t="s">
        <v>82</v>
      </c>
      <c r="D208">
        <v>1779</v>
      </c>
      <c r="E208">
        <v>23</v>
      </c>
      <c r="F208">
        <v>1862</v>
      </c>
      <c r="G208" t="s">
        <v>83</v>
      </c>
      <c r="H208" t="s">
        <v>84</v>
      </c>
      <c r="I208" t="s">
        <v>81</v>
      </c>
    </row>
    <row r="209" spans="1:9" x14ac:dyDescent="0.25">
      <c r="A209" t="str">
        <f>_xlfn.CONCAT(C209,D209)</f>
        <v>Goethe1789</v>
      </c>
      <c r="C209" t="s">
        <v>82</v>
      </c>
      <c r="D209">
        <v>1789</v>
      </c>
      <c r="E209">
        <v>23</v>
      </c>
      <c r="F209">
        <v>1872</v>
      </c>
      <c r="G209" t="s">
        <v>83</v>
      </c>
      <c r="H209" t="s">
        <v>84</v>
      </c>
      <c r="I209" t="s">
        <v>81</v>
      </c>
    </row>
  </sheetData>
  <conditionalFormatting sqref="AQ2:AR2">
    <cfRule type="expression" dxfId="10" priority="2">
      <formula>AV2-AY2&gt;=50</formula>
    </cfRule>
  </conditionalFormatting>
  <conditionalFormatting sqref="AN2:AO2">
    <cfRule type="expression" dxfId="9" priority="5">
      <formula>AU2-AX2&gt;=50</formula>
    </cfRule>
  </conditionalFormatting>
  <conditionalFormatting sqref="AO2:AQ2">
    <cfRule type="expression" dxfId="8" priority="7">
      <formula>AU2-AX2&gt;=50</formula>
    </cfRule>
  </conditionalFormatting>
  <conditionalFormatting sqref="AL4:AL27">
    <cfRule type="expression" dxfId="7" priority="8">
      <formula>AU3-AX3&gt;=50</formula>
    </cfRule>
  </conditionalFormatting>
  <conditionalFormatting sqref="AM3:AR202">
    <cfRule type="expression" dxfId="6" priority="1">
      <formula>AU2-AX2&gt;=50</formula>
    </cfRule>
  </conditionalFormatting>
  <conditionalFormatting sqref="C2:C209">
    <cfRule type="expression" dxfId="5" priority="10">
      <formula>F2-A2&gt;=50</formula>
    </cfRule>
  </conditionalFormatting>
  <conditionalFormatting sqref="I2:R209">
    <cfRule type="expression" dxfId="4" priority="13">
      <formula>AND(AV2=19,G2="France")</formula>
    </cfRule>
  </conditionalFormatting>
  <conditionalFormatting sqref="S2:AA209">
    <cfRule type="expression" dxfId="3" priority="14">
      <formula>AND(AW2=19,H2="France")</formula>
    </cfRule>
  </conditionalFormatting>
  <conditionalFormatting sqref="AB2:AJ209">
    <cfRule type="expression" dxfId="2" priority="15">
      <formula>AND(AW2=19,H2="France")</formula>
    </cfRule>
  </conditionalFormatting>
  <pageMargins left="0.7" right="0.7" top="0.78740157499999996" bottom="0.78740157499999996" header="0.3" footer="0.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C07673-A857-4E24-98AB-0D88C5381551}">
  <sheetPr codeName="List4"/>
  <dimension ref="A1:O209"/>
  <sheetViews>
    <sheetView topLeftCell="A16" workbookViewId="0">
      <selection activeCell="E3" sqref="E3"/>
    </sheetView>
  </sheetViews>
  <sheetFormatPr defaultRowHeight="15" x14ac:dyDescent="0.25"/>
  <cols>
    <col min="2" max="2" width="15.7109375" bestFit="1" customWidth="1"/>
    <col min="11" max="11" width="11.5703125" bestFit="1" customWidth="1"/>
    <col min="15" max="15" width="26.42578125" bestFit="1" customWidth="1"/>
  </cols>
  <sheetData>
    <row r="1" spans="1:15" x14ac:dyDescent="0.25">
      <c r="A1" t="s">
        <v>0</v>
      </c>
      <c r="B1" t="s">
        <v>1</v>
      </c>
      <c r="C1" t="s">
        <v>2</v>
      </c>
      <c r="D1" t="s">
        <v>88</v>
      </c>
      <c r="E1" t="s">
        <v>3</v>
      </c>
      <c r="F1" t="s">
        <v>4</v>
      </c>
      <c r="G1" t="s">
        <v>5</v>
      </c>
      <c r="K1" t="s">
        <v>2</v>
      </c>
      <c r="L1" t="s">
        <v>88</v>
      </c>
      <c r="M1" t="s">
        <v>3</v>
      </c>
      <c r="N1" t="s">
        <v>4</v>
      </c>
      <c r="O1" t="s">
        <v>5</v>
      </c>
    </row>
    <row r="2" spans="1:15" x14ac:dyDescent="0.25">
      <c r="A2" t="s">
        <v>63</v>
      </c>
      <c r="B2" t="s">
        <v>64</v>
      </c>
      <c r="C2">
        <v>1265</v>
      </c>
      <c r="D2">
        <f>INT(C2/100)+1</f>
        <v>13</v>
      </c>
      <c r="E2">
        <v>1321</v>
      </c>
      <c r="F2" t="s">
        <v>65</v>
      </c>
      <c r="G2" t="s">
        <v>66</v>
      </c>
      <c r="J2" t="s">
        <v>64</v>
      </c>
      <c r="K2">
        <f>_xlfn.XLOOKUP($J2,$B$2:$B$209,C$2:C$209,,0,1)</f>
        <v>1265</v>
      </c>
      <c r="L2">
        <f>_xlfn.XLOOKUP($J2,$B$2:$B$209,D$2:D$209,,0,1)</f>
        <v>13</v>
      </c>
      <c r="M2">
        <f>_xlfn.XLOOKUP($J2,$B$2:$B$209,E$2:E$209,,0,1)</f>
        <v>1321</v>
      </c>
      <c r="N2" t="str">
        <f>_xlfn.XLOOKUP($J2,$B$2:$B$209,F$2:F$209,,0,1)</f>
        <v>Italy</v>
      </c>
      <c r="O2" t="str">
        <f>_xlfn.XLOOKUP($J2,$B$2:$B$209,G$2:G$209,,0,1)</f>
        <v>Epic poetry</v>
      </c>
    </row>
    <row r="3" spans="1:15" x14ac:dyDescent="0.25">
      <c r="A3" t="s">
        <v>63</v>
      </c>
      <c r="B3" t="s">
        <v>64</v>
      </c>
      <c r="C3">
        <v>1275</v>
      </c>
      <c r="D3">
        <f>INT(C3/100)+1</f>
        <v>13</v>
      </c>
      <c r="E3">
        <v>1331</v>
      </c>
      <c r="F3" t="s">
        <v>65</v>
      </c>
      <c r="G3" t="s">
        <v>66</v>
      </c>
      <c r="J3" t="s">
        <v>21</v>
      </c>
      <c r="K3">
        <f t="shared" ref="K3:K26" si="0">_xlfn.XLOOKUP($J3,$B$2:$B$209,C$2:C$209,,0,1)</f>
        <v>1207</v>
      </c>
      <c r="L3">
        <f t="shared" ref="L2:O17" si="1">_xlfn.XLOOKUP($J3,$B$2:$B$209,D$2:D$209,,0,1)</f>
        <v>13</v>
      </c>
      <c r="M3">
        <f t="shared" si="1"/>
        <v>1273</v>
      </c>
      <c r="N3" t="str">
        <f t="shared" si="1"/>
        <v>Persia</v>
      </c>
      <c r="O3" t="str">
        <f t="shared" si="1"/>
        <v>Sufi poetry</v>
      </c>
    </row>
    <row r="4" spans="1:15" x14ac:dyDescent="0.25">
      <c r="A4" t="s">
        <v>63</v>
      </c>
      <c r="B4" t="s">
        <v>64</v>
      </c>
      <c r="C4">
        <v>1285</v>
      </c>
      <c r="D4">
        <f>INT(C4/100)+1</f>
        <v>13</v>
      </c>
      <c r="E4">
        <v>1341</v>
      </c>
      <c r="F4" t="s">
        <v>65</v>
      </c>
      <c r="G4" t="s">
        <v>66</v>
      </c>
      <c r="J4" t="s">
        <v>68</v>
      </c>
      <c r="K4">
        <f t="shared" si="0"/>
        <v>1343</v>
      </c>
      <c r="L4">
        <f t="shared" si="1"/>
        <v>14</v>
      </c>
      <c r="M4">
        <f t="shared" si="1"/>
        <v>1400</v>
      </c>
      <c r="N4" t="str">
        <f t="shared" si="1"/>
        <v>England</v>
      </c>
      <c r="O4" t="str">
        <f t="shared" si="1"/>
        <v>Medieval poetry</v>
      </c>
    </row>
    <row r="5" spans="1:15" x14ac:dyDescent="0.25">
      <c r="A5" t="s">
        <v>63</v>
      </c>
      <c r="B5" t="s">
        <v>64</v>
      </c>
      <c r="C5">
        <v>1295</v>
      </c>
      <c r="D5">
        <f>INT(C5/100)+1</f>
        <v>13</v>
      </c>
      <c r="E5">
        <v>1351</v>
      </c>
      <c r="F5" t="s">
        <v>65</v>
      </c>
      <c r="G5" t="s">
        <v>66</v>
      </c>
      <c r="J5" t="s">
        <v>39</v>
      </c>
      <c r="K5">
        <f t="shared" si="0"/>
        <v>1644</v>
      </c>
      <c r="L5">
        <f t="shared" si="1"/>
        <v>17</v>
      </c>
      <c r="M5">
        <f t="shared" si="1"/>
        <v>1694</v>
      </c>
      <c r="N5" t="str">
        <f t="shared" si="1"/>
        <v>Japan</v>
      </c>
      <c r="O5" t="str">
        <f t="shared" si="1"/>
        <v>Haiku</v>
      </c>
    </row>
    <row r="6" spans="1:15" x14ac:dyDescent="0.25">
      <c r="A6" t="s">
        <v>20</v>
      </c>
      <c r="B6" t="s">
        <v>21</v>
      </c>
      <c r="C6">
        <v>1207</v>
      </c>
      <c r="D6">
        <f>INT(C6/100)+1</f>
        <v>13</v>
      </c>
      <c r="E6">
        <v>1273</v>
      </c>
      <c r="F6" t="s">
        <v>22</v>
      </c>
      <c r="G6" t="s">
        <v>23</v>
      </c>
      <c r="J6" t="s">
        <v>71</v>
      </c>
      <c r="K6">
        <f t="shared" si="0"/>
        <v>1788</v>
      </c>
      <c r="L6">
        <f t="shared" si="1"/>
        <v>18</v>
      </c>
      <c r="M6">
        <f t="shared" si="1"/>
        <v>1824</v>
      </c>
      <c r="N6" t="str">
        <f t="shared" si="1"/>
        <v>England</v>
      </c>
      <c r="O6" t="str">
        <f t="shared" si="1"/>
        <v>Romantic poetry</v>
      </c>
    </row>
    <row r="7" spans="1:15" x14ac:dyDescent="0.25">
      <c r="A7" t="s">
        <v>20</v>
      </c>
      <c r="B7" t="s">
        <v>21</v>
      </c>
      <c r="C7">
        <v>1217</v>
      </c>
      <c r="D7">
        <f>INT(C7/100)+1</f>
        <v>13</v>
      </c>
      <c r="E7">
        <v>1283</v>
      </c>
      <c r="F7" t="s">
        <v>22</v>
      </c>
      <c r="G7" t="s">
        <v>23</v>
      </c>
      <c r="J7" t="s">
        <v>43</v>
      </c>
      <c r="K7">
        <f t="shared" si="0"/>
        <v>1795</v>
      </c>
      <c r="L7">
        <f t="shared" si="1"/>
        <v>18</v>
      </c>
      <c r="M7">
        <f t="shared" si="1"/>
        <v>1821</v>
      </c>
      <c r="N7" t="str">
        <f t="shared" si="1"/>
        <v>England</v>
      </c>
      <c r="O7" t="str">
        <f t="shared" si="1"/>
        <v>Romantic poetry</v>
      </c>
    </row>
    <row r="8" spans="1:15" x14ac:dyDescent="0.25">
      <c r="A8" t="s">
        <v>20</v>
      </c>
      <c r="B8" t="s">
        <v>21</v>
      </c>
      <c r="C8">
        <v>1227</v>
      </c>
      <c r="D8">
        <f>INT(C8/100)+1</f>
        <v>13</v>
      </c>
      <c r="E8">
        <v>1293</v>
      </c>
      <c r="F8" t="s">
        <v>22</v>
      </c>
      <c r="G8" t="s">
        <v>23</v>
      </c>
      <c r="J8" t="s">
        <v>7</v>
      </c>
      <c r="K8">
        <f t="shared" si="0"/>
        <v>1770</v>
      </c>
      <c r="L8">
        <f t="shared" si="1"/>
        <v>18</v>
      </c>
      <c r="M8">
        <f t="shared" si="1"/>
        <v>1850</v>
      </c>
      <c r="N8" t="str">
        <f t="shared" si="1"/>
        <v>England</v>
      </c>
      <c r="O8" t="str">
        <f t="shared" si="1"/>
        <v>Romanticism</v>
      </c>
    </row>
    <row r="9" spans="1:15" x14ac:dyDescent="0.25">
      <c r="A9" t="s">
        <v>20</v>
      </c>
      <c r="B9" t="s">
        <v>21</v>
      </c>
      <c r="C9">
        <v>1237</v>
      </c>
      <c r="D9">
        <f>INT(C9/100)+1</f>
        <v>13</v>
      </c>
      <c r="E9">
        <v>1303</v>
      </c>
      <c r="F9" t="s">
        <v>22</v>
      </c>
      <c r="G9" t="s">
        <v>23</v>
      </c>
      <c r="J9" t="s">
        <v>82</v>
      </c>
      <c r="K9">
        <f t="shared" si="0"/>
        <v>1749</v>
      </c>
      <c r="L9">
        <f t="shared" si="1"/>
        <v>18</v>
      </c>
      <c r="M9">
        <f t="shared" si="1"/>
        <v>1832</v>
      </c>
      <c r="N9" t="str">
        <f t="shared" si="1"/>
        <v>Germany</v>
      </c>
      <c r="O9" t="str">
        <f t="shared" si="1"/>
        <v>Sturm und Drang</v>
      </c>
    </row>
    <row r="10" spans="1:15" x14ac:dyDescent="0.25">
      <c r="A10" t="s">
        <v>20</v>
      </c>
      <c r="B10" t="s">
        <v>21</v>
      </c>
      <c r="C10">
        <v>1247</v>
      </c>
      <c r="D10">
        <f>INT(C10/100)+1</f>
        <v>13</v>
      </c>
      <c r="E10">
        <v>1313</v>
      </c>
      <c r="F10" t="s">
        <v>22</v>
      </c>
      <c r="G10" t="s">
        <v>23</v>
      </c>
      <c r="J10" t="s">
        <v>73</v>
      </c>
      <c r="K10">
        <f t="shared" si="0"/>
        <v>1854</v>
      </c>
      <c r="L10">
        <f t="shared" si="1"/>
        <v>19</v>
      </c>
      <c r="M10">
        <f t="shared" si="1"/>
        <v>1900</v>
      </c>
      <c r="N10" t="str">
        <f t="shared" si="1"/>
        <v>Ireland</v>
      </c>
      <c r="O10" t="str">
        <f t="shared" si="1"/>
        <v>Aestheticism</v>
      </c>
    </row>
    <row r="11" spans="1:15" x14ac:dyDescent="0.25">
      <c r="A11" t="s">
        <v>20</v>
      </c>
      <c r="B11" t="s">
        <v>21</v>
      </c>
      <c r="C11">
        <v>1257</v>
      </c>
      <c r="D11">
        <f>INT(C11/100)+1</f>
        <v>13</v>
      </c>
      <c r="E11">
        <v>1323</v>
      </c>
      <c r="F11" t="s">
        <v>22</v>
      </c>
      <c r="G11" t="s">
        <v>23</v>
      </c>
      <c r="J11" t="s">
        <v>32</v>
      </c>
      <c r="K11">
        <f t="shared" si="0"/>
        <v>1861</v>
      </c>
      <c r="L11">
        <f t="shared" si="1"/>
        <v>19</v>
      </c>
      <c r="M11">
        <f t="shared" si="1"/>
        <v>1941</v>
      </c>
      <c r="N11" t="str">
        <f t="shared" si="1"/>
        <v>India</v>
      </c>
      <c r="O11" t="str">
        <f t="shared" si="1"/>
        <v>Bengali renaissance</v>
      </c>
    </row>
    <row r="12" spans="1:15" x14ac:dyDescent="0.25">
      <c r="A12" t="s">
        <v>20</v>
      </c>
      <c r="B12" t="s">
        <v>21</v>
      </c>
      <c r="C12">
        <v>1267</v>
      </c>
      <c r="D12">
        <f>INT(C12/100)+1</f>
        <v>13</v>
      </c>
      <c r="E12">
        <v>1333</v>
      </c>
      <c r="F12" t="s">
        <v>22</v>
      </c>
      <c r="G12" t="s">
        <v>23</v>
      </c>
      <c r="J12" t="s">
        <v>59</v>
      </c>
      <c r="K12">
        <f t="shared" si="0"/>
        <v>1809</v>
      </c>
      <c r="L12">
        <f t="shared" si="1"/>
        <v>19</v>
      </c>
      <c r="M12">
        <f t="shared" si="1"/>
        <v>1849</v>
      </c>
      <c r="N12" t="str">
        <f t="shared" si="1"/>
        <v>United States</v>
      </c>
      <c r="O12" t="str">
        <f t="shared" si="1"/>
        <v>Gothic fiction</v>
      </c>
    </row>
    <row r="13" spans="1:15" x14ac:dyDescent="0.25">
      <c r="A13" t="s">
        <v>20</v>
      </c>
      <c r="B13" t="s">
        <v>21</v>
      </c>
      <c r="C13">
        <v>1277</v>
      </c>
      <c r="D13">
        <f>INT(C13/100)+1</f>
        <v>13</v>
      </c>
      <c r="E13">
        <v>1343</v>
      </c>
      <c r="F13" t="s">
        <v>22</v>
      </c>
      <c r="G13" t="s">
        <v>23</v>
      </c>
      <c r="J13" t="s">
        <v>18</v>
      </c>
      <c r="K13">
        <f t="shared" si="0"/>
        <v>1830</v>
      </c>
      <c r="L13">
        <f t="shared" si="1"/>
        <v>19</v>
      </c>
      <c r="M13">
        <f t="shared" si="1"/>
        <v>1886</v>
      </c>
      <c r="N13" t="str">
        <f t="shared" si="1"/>
        <v>United States</v>
      </c>
      <c r="O13" t="str">
        <f t="shared" si="1"/>
        <v>Lyric poetry</v>
      </c>
    </row>
    <row r="14" spans="1:15" x14ac:dyDescent="0.25">
      <c r="A14" t="s">
        <v>63</v>
      </c>
      <c r="B14" t="s">
        <v>64</v>
      </c>
      <c r="C14">
        <v>1305</v>
      </c>
      <c r="D14">
        <f>INT(C14/100)+1</f>
        <v>14</v>
      </c>
      <c r="E14">
        <v>1361</v>
      </c>
      <c r="F14" t="s">
        <v>65</v>
      </c>
      <c r="G14" t="s">
        <v>66</v>
      </c>
      <c r="J14" t="s">
        <v>77</v>
      </c>
      <c r="K14">
        <f t="shared" si="0"/>
        <v>1882</v>
      </c>
      <c r="L14">
        <f t="shared" si="1"/>
        <v>19</v>
      </c>
      <c r="M14">
        <f t="shared" si="1"/>
        <v>1941</v>
      </c>
      <c r="N14" t="str">
        <f t="shared" si="1"/>
        <v>England</v>
      </c>
      <c r="O14" t="str">
        <f t="shared" si="1"/>
        <v>Modern literature</v>
      </c>
    </row>
    <row r="15" spans="1:15" x14ac:dyDescent="0.25">
      <c r="A15" t="s">
        <v>63</v>
      </c>
      <c r="B15" t="s">
        <v>64</v>
      </c>
      <c r="C15">
        <v>1315</v>
      </c>
      <c r="D15">
        <f>INT(C15/100)+1</f>
        <v>14</v>
      </c>
      <c r="E15">
        <v>1371</v>
      </c>
      <c r="F15" t="s">
        <v>65</v>
      </c>
      <c r="G15" t="s">
        <v>66</v>
      </c>
      <c r="J15" t="s">
        <v>56</v>
      </c>
      <c r="K15">
        <f t="shared" si="0"/>
        <v>1874</v>
      </c>
      <c r="L15">
        <f t="shared" si="1"/>
        <v>19</v>
      </c>
      <c r="M15">
        <f t="shared" si="1"/>
        <v>1963</v>
      </c>
      <c r="N15" t="str">
        <f t="shared" si="1"/>
        <v>United States</v>
      </c>
      <c r="O15" t="str">
        <f t="shared" si="1"/>
        <v>Poetry of rural life</v>
      </c>
    </row>
    <row r="16" spans="1:15" x14ac:dyDescent="0.25">
      <c r="A16" t="s">
        <v>63</v>
      </c>
      <c r="B16" t="s">
        <v>64</v>
      </c>
      <c r="C16">
        <v>1325</v>
      </c>
      <c r="D16">
        <f>INT(C16/100)+1</f>
        <v>14</v>
      </c>
      <c r="E16">
        <v>1381</v>
      </c>
      <c r="F16" t="s">
        <v>65</v>
      </c>
      <c r="G16" t="s">
        <v>66</v>
      </c>
      <c r="J16" t="s">
        <v>86</v>
      </c>
      <c r="K16">
        <f t="shared" si="0"/>
        <v>1898</v>
      </c>
      <c r="L16">
        <f t="shared" si="1"/>
        <v>19</v>
      </c>
      <c r="M16">
        <f t="shared" si="1"/>
        <v>1936</v>
      </c>
      <c r="N16" t="str">
        <f t="shared" si="1"/>
        <v>Spain</v>
      </c>
      <c r="O16" t="str">
        <f t="shared" si="1"/>
        <v>Surrealism</v>
      </c>
    </row>
    <row r="17" spans="1:15" x14ac:dyDescent="0.25">
      <c r="A17" t="s">
        <v>63</v>
      </c>
      <c r="B17" t="s">
        <v>64</v>
      </c>
      <c r="C17">
        <v>1335</v>
      </c>
      <c r="D17">
        <f>INT(C17/100)+1</f>
        <v>14</v>
      </c>
      <c r="E17">
        <v>1391</v>
      </c>
      <c r="F17" t="s">
        <v>65</v>
      </c>
      <c r="G17" t="s">
        <v>66</v>
      </c>
      <c r="J17" t="s">
        <v>49</v>
      </c>
      <c r="K17">
        <f t="shared" si="0"/>
        <v>1821</v>
      </c>
      <c r="L17">
        <f t="shared" si="1"/>
        <v>19</v>
      </c>
      <c r="M17">
        <f t="shared" si="1"/>
        <v>1867</v>
      </c>
      <c r="N17" t="str">
        <f t="shared" si="1"/>
        <v>France</v>
      </c>
      <c r="O17" t="str">
        <f t="shared" si="1"/>
        <v>Symbolism</v>
      </c>
    </row>
    <row r="18" spans="1:15" x14ac:dyDescent="0.25">
      <c r="A18" t="s">
        <v>67</v>
      </c>
      <c r="B18" t="s">
        <v>68</v>
      </c>
      <c r="C18">
        <v>1343</v>
      </c>
      <c r="D18">
        <f>INT(C18/100)+1</f>
        <v>14</v>
      </c>
      <c r="E18">
        <v>1400</v>
      </c>
      <c r="F18" t="s">
        <v>8</v>
      </c>
      <c r="G18" t="s">
        <v>69</v>
      </c>
      <c r="J18" t="s">
        <v>80</v>
      </c>
      <c r="K18">
        <f t="shared" si="0"/>
        <v>1854</v>
      </c>
      <c r="L18">
        <f t="shared" ref="L18:L26" si="2">_xlfn.XLOOKUP($J18,$B$2:$B$209,D$2:D$209,,0,1)</f>
        <v>19</v>
      </c>
      <c r="M18">
        <f t="shared" ref="M18:M26" si="3">_xlfn.XLOOKUP($J18,$B$2:$B$209,E$2:E$209,,0,1)</f>
        <v>1891</v>
      </c>
      <c r="N18" t="str">
        <f t="shared" ref="N18:N26" si="4">_xlfn.XLOOKUP($J18,$B$2:$B$209,F$2:F$209,,0,1)</f>
        <v>France</v>
      </c>
      <c r="O18" t="str">
        <f t="shared" ref="O18:O26" si="5">_xlfn.XLOOKUP($J18,$B$2:$B$209,G$2:G$209,,0,1)</f>
        <v>Symbolism</v>
      </c>
    </row>
    <row r="19" spans="1:15" x14ac:dyDescent="0.25">
      <c r="A19" t="s">
        <v>67</v>
      </c>
      <c r="B19" t="s">
        <v>68</v>
      </c>
      <c r="C19">
        <v>1353</v>
      </c>
      <c r="D19">
        <f>INT(C19/100)+1</f>
        <v>14</v>
      </c>
      <c r="E19">
        <v>1410</v>
      </c>
      <c r="F19" t="s">
        <v>8</v>
      </c>
      <c r="G19" t="s">
        <v>69</v>
      </c>
      <c r="J19" t="s">
        <v>36</v>
      </c>
      <c r="K19">
        <f t="shared" si="0"/>
        <v>1819</v>
      </c>
      <c r="L19">
        <f t="shared" si="2"/>
        <v>19</v>
      </c>
      <c r="M19">
        <f t="shared" si="3"/>
        <v>1892</v>
      </c>
      <c r="N19" t="str">
        <f t="shared" si="4"/>
        <v>United States</v>
      </c>
      <c r="O19" t="str">
        <f t="shared" si="5"/>
        <v>Transcendentalism</v>
      </c>
    </row>
    <row r="20" spans="1:15" x14ac:dyDescent="0.25">
      <c r="A20" t="s">
        <v>67</v>
      </c>
      <c r="B20" t="s">
        <v>68</v>
      </c>
      <c r="C20">
        <v>1363</v>
      </c>
      <c r="D20">
        <f>INT(C20/100)+1</f>
        <v>14</v>
      </c>
      <c r="E20">
        <v>1420</v>
      </c>
      <c r="F20" t="s">
        <v>8</v>
      </c>
      <c r="G20" t="s">
        <v>69</v>
      </c>
      <c r="J20" t="s">
        <v>46</v>
      </c>
      <c r="K20">
        <f t="shared" si="0"/>
        <v>1806</v>
      </c>
      <c r="L20">
        <f t="shared" si="2"/>
        <v>19</v>
      </c>
      <c r="M20">
        <f t="shared" si="3"/>
        <v>1861</v>
      </c>
      <c r="N20" t="str">
        <f t="shared" si="4"/>
        <v>England</v>
      </c>
      <c r="O20" t="str">
        <f t="shared" si="5"/>
        <v>Victorian poetry</v>
      </c>
    </row>
    <row r="21" spans="1:15" x14ac:dyDescent="0.25">
      <c r="A21" t="s">
        <v>67</v>
      </c>
      <c r="B21" t="s">
        <v>68</v>
      </c>
      <c r="C21">
        <v>1373</v>
      </c>
      <c r="D21">
        <f>INT(C21/100)+1</f>
        <v>14</v>
      </c>
      <c r="E21">
        <v>1430</v>
      </c>
      <c r="F21" t="s">
        <v>8</v>
      </c>
      <c r="G21" t="s">
        <v>69</v>
      </c>
      <c r="J21" t="s">
        <v>29</v>
      </c>
      <c r="K21">
        <f t="shared" si="0"/>
        <v>1928</v>
      </c>
      <c r="L21">
        <f t="shared" si="2"/>
        <v>20</v>
      </c>
      <c r="M21">
        <f t="shared" si="3"/>
        <v>2014</v>
      </c>
      <c r="N21" t="str">
        <f t="shared" si="4"/>
        <v>United States</v>
      </c>
      <c r="O21" t="str">
        <f t="shared" si="5"/>
        <v>Civil Rights Movement poetry</v>
      </c>
    </row>
    <row r="22" spans="1:15" x14ac:dyDescent="0.25">
      <c r="A22" t="s">
        <v>67</v>
      </c>
      <c r="B22" t="s">
        <v>68</v>
      </c>
      <c r="C22">
        <v>1383</v>
      </c>
      <c r="D22">
        <f>INT(C22/100)+1</f>
        <v>14</v>
      </c>
      <c r="E22">
        <v>1440</v>
      </c>
      <c r="F22" t="s">
        <v>8</v>
      </c>
      <c r="G22" t="s">
        <v>69</v>
      </c>
      <c r="J22" t="s">
        <v>62</v>
      </c>
      <c r="K22">
        <f t="shared" si="0"/>
        <v>1928</v>
      </c>
      <c r="L22">
        <f t="shared" si="2"/>
        <v>20</v>
      </c>
      <c r="M22">
        <f t="shared" si="3"/>
        <v>1974</v>
      </c>
      <c r="N22" t="str">
        <f t="shared" si="4"/>
        <v>United States</v>
      </c>
      <c r="O22" t="str">
        <f t="shared" si="5"/>
        <v>Confessional poetry</v>
      </c>
    </row>
    <row r="23" spans="1:15" x14ac:dyDescent="0.25">
      <c r="A23" t="s">
        <v>67</v>
      </c>
      <c r="B23" t="s">
        <v>68</v>
      </c>
      <c r="C23">
        <v>1393</v>
      </c>
      <c r="D23">
        <f>INT(C23/100)+1</f>
        <v>14</v>
      </c>
      <c r="E23">
        <v>1450</v>
      </c>
      <c r="F23" t="s">
        <v>8</v>
      </c>
      <c r="G23" t="s">
        <v>69</v>
      </c>
      <c r="J23" t="s">
        <v>11</v>
      </c>
      <c r="K23">
        <f t="shared" si="0"/>
        <v>1932</v>
      </c>
      <c r="L23">
        <f t="shared" si="2"/>
        <v>20</v>
      </c>
      <c r="M23">
        <f t="shared" si="3"/>
        <v>1963</v>
      </c>
      <c r="N23" t="str">
        <f t="shared" si="4"/>
        <v>United States</v>
      </c>
      <c r="O23" t="str">
        <f t="shared" si="5"/>
        <v>Confessional poetry</v>
      </c>
    </row>
    <row r="24" spans="1:15" x14ac:dyDescent="0.25">
      <c r="A24" t="s">
        <v>67</v>
      </c>
      <c r="B24" t="s">
        <v>68</v>
      </c>
      <c r="C24">
        <v>1403</v>
      </c>
      <c r="D24">
        <f>INT(C24/100)+1</f>
        <v>15</v>
      </c>
      <c r="E24">
        <v>1460</v>
      </c>
      <c r="F24" t="s">
        <v>8</v>
      </c>
      <c r="G24" t="s">
        <v>69</v>
      </c>
      <c r="J24" t="s">
        <v>53</v>
      </c>
      <c r="K24">
        <f t="shared" si="0"/>
        <v>1943</v>
      </c>
      <c r="L24">
        <f t="shared" si="2"/>
        <v>20</v>
      </c>
      <c r="M24">
        <f t="shared" si="3"/>
        <v>2020</v>
      </c>
      <c r="N24" t="str">
        <f t="shared" si="4"/>
        <v>United States</v>
      </c>
      <c r="O24" t="str">
        <f t="shared" si="5"/>
        <v>Contemporary poetry</v>
      </c>
    </row>
    <row r="25" spans="1:15" x14ac:dyDescent="0.25">
      <c r="A25" t="s">
        <v>67</v>
      </c>
      <c r="B25" t="s">
        <v>68</v>
      </c>
      <c r="C25">
        <v>1413</v>
      </c>
      <c r="D25">
        <f>INT(C25/100)+1</f>
        <v>15</v>
      </c>
      <c r="E25">
        <v>1470</v>
      </c>
      <c r="F25" t="s">
        <v>8</v>
      </c>
      <c r="G25" t="s">
        <v>69</v>
      </c>
      <c r="J25" t="s">
        <v>15</v>
      </c>
      <c r="K25">
        <f t="shared" si="0"/>
        <v>1902</v>
      </c>
      <c r="L25">
        <f t="shared" si="2"/>
        <v>20</v>
      </c>
      <c r="M25">
        <f t="shared" si="3"/>
        <v>1967</v>
      </c>
      <c r="N25" t="str">
        <f t="shared" si="4"/>
        <v>United States</v>
      </c>
      <c r="O25" t="str">
        <f t="shared" si="5"/>
        <v>Jazz poetry</v>
      </c>
    </row>
    <row r="26" spans="1:15" x14ac:dyDescent="0.25">
      <c r="A26" t="s">
        <v>38</v>
      </c>
      <c r="B26" t="s">
        <v>39</v>
      </c>
      <c r="C26">
        <v>1644</v>
      </c>
      <c r="D26">
        <f>INT(C26/100)+1</f>
        <v>17</v>
      </c>
      <c r="E26">
        <v>1694</v>
      </c>
      <c r="F26" t="s">
        <v>40</v>
      </c>
      <c r="G26" t="s">
        <v>41</v>
      </c>
      <c r="J26" t="s">
        <v>25</v>
      </c>
      <c r="K26">
        <f t="shared" si="0"/>
        <v>1904</v>
      </c>
      <c r="L26">
        <f t="shared" si="2"/>
        <v>20</v>
      </c>
      <c r="M26">
        <f t="shared" si="3"/>
        <v>1973</v>
      </c>
      <c r="N26" t="str">
        <f t="shared" si="4"/>
        <v>Chile</v>
      </c>
      <c r="O26" t="str">
        <f t="shared" si="5"/>
        <v>Surrealism</v>
      </c>
    </row>
    <row r="27" spans="1:15" x14ac:dyDescent="0.25">
      <c r="A27" t="s">
        <v>38</v>
      </c>
      <c r="B27" t="s">
        <v>39</v>
      </c>
      <c r="C27">
        <v>1654</v>
      </c>
      <c r="D27">
        <f>INT(C27/100)+1</f>
        <v>17</v>
      </c>
      <c r="E27">
        <v>1704</v>
      </c>
      <c r="F27" t="s">
        <v>40</v>
      </c>
      <c r="G27" t="s">
        <v>41</v>
      </c>
    </row>
    <row r="28" spans="1:15" x14ac:dyDescent="0.25">
      <c r="A28" t="s">
        <v>38</v>
      </c>
      <c r="B28" t="s">
        <v>39</v>
      </c>
      <c r="C28">
        <v>1664</v>
      </c>
      <c r="D28">
        <f>INT(C28/100)+1</f>
        <v>17</v>
      </c>
      <c r="E28">
        <v>1714</v>
      </c>
      <c r="F28" t="s">
        <v>40</v>
      </c>
      <c r="G28" t="s">
        <v>41</v>
      </c>
    </row>
    <row r="29" spans="1:15" x14ac:dyDescent="0.25">
      <c r="A29" t="s">
        <v>38</v>
      </c>
      <c r="B29" t="s">
        <v>39</v>
      </c>
      <c r="C29">
        <v>1674</v>
      </c>
      <c r="D29">
        <f>INT(C29/100)+1</f>
        <v>17</v>
      </c>
      <c r="E29">
        <v>1724</v>
      </c>
      <c r="F29" t="s">
        <v>40</v>
      </c>
      <c r="G29" t="s">
        <v>41</v>
      </c>
    </row>
    <row r="30" spans="1:15" x14ac:dyDescent="0.25">
      <c r="A30" t="s">
        <v>38</v>
      </c>
      <c r="B30" t="s">
        <v>39</v>
      </c>
      <c r="C30">
        <v>1684</v>
      </c>
      <c r="D30">
        <f>INT(C30/100)+1</f>
        <v>17</v>
      </c>
      <c r="E30">
        <v>1734</v>
      </c>
      <c r="F30" t="s">
        <v>40</v>
      </c>
      <c r="G30" t="s">
        <v>41</v>
      </c>
    </row>
    <row r="31" spans="1:15" x14ac:dyDescent="0.25">
      <c r="A31" t="s">
        <v>38</v>
      </c>
      <c r="B31" t="s">
        <v>39</v>
      </c>
      <c r="C31">
        <v>1694</v>
      </c>
      <c r="D31">
        <f>INT(C31/100)+1</f>
        <v>17</v>
      </c>
      <c r="E31">
        <v>1744</v>
      </c>
      <c r="F31" t="s">
        <v>40</v>
      </c>
      <c r="G31" t="s">
        <v>41</v>
      </c>
    </row>
    <row r="32" spans="1:15" x14ac:dyDescent="0.25">
      <c r="A32" t="s">
        <v>38</v>
      </c>
      <c r="B32" t="s">
        <v>39</v>
      </c>
      <c r="C32">
        <v>1704</v>
      </c>
      <c r="D32">
        <f>INT(C32/100)+1</f>
        <v>18</v>
      </c>
      <c r="E32">
        <v>1754</v>
      </c>
      <c r="F32" t="s">
        <v>40</v>
      </c>
      <c r="G32" t="s">
        <v>41</v>
      </c>
    </row>
    <row r="33" spans="1:7" x14ac:dyDescent="0.25">
      <c r="A33" t="s">
        <v>38</v>
      </c>
      <c r="B33" t="s">
        <v>39</v>
      </c>
      <c r="C33">
        <v>1714</v>
      </c>
      <c r="D33">
        <f>INT(C33/100)+1</f>
        <v>18</v>
      </c>
      <c r="E33">
        <v>1764</v>
      </c>
      <c r="F33" t="s">
        <v>40</v>
      </c>
      <c r="G33" t="s">
        <v>41</v>
      </c>
    </row>
    <row r="34" spans="1:7" x14ac:dyDescent="0.25">
      <c r="A34" t="s">
        <v>70</v>
      </c>
      <c r="B34" t="s">
        <v>71</v>
      </c>
      <c r="C34">
        <v>1788</v>
      </c>
      <c r="D34">
        <f>INT(C34/100)+1</f>
        <v>18</v>
      </c>
      <c r="E34">
        <v>1824</v>
      </c>
      <c r="F34" t="s">
        <v>8</v>
      </c>
      <c r="G34" t="s">
        <v>44</v>
      </c>
    </row>
    <row r="35" spans="1:7" x14ac:dyDescent="0.25">
      <c r="A35" t="s">
        <v>42</v>
      </c>
      <c r="B35" t="s">
        <v>43</v>
      </c>
      <c r="C35">
        <v>1795</v>
      </c>
      <c r="D35">
        <f>INT(C35/100)+1</f>
        <v>18</v>
      </c>
      <c r="E35">
        <v>1821</v>
      </c>
      <c r="F35" t="s">
        <v>8</v>
      </c>
      <c r="G35" t="s">
        <v>44</v>
      </c>
    </row>
    <row r="36" spans="1:7" x14ac:dyDescent="0.25">
      <c r="A36" t="s">
        <v>70</v>
      </c>
      <c r="B36" t="s">
        <v>71</v>
      </c>
      <c r="C36">
        <v>1798</v>
      </c>
      <c r="D36">
        <f>INT(C36/100)+1</f>
        <v>18</v>
      </c>
      <c r="E36">
        <v>1834</v>
      </c>
      <c r="F36" t="s">
        <v>8</v>
      </c>
      <c r="G36" t="s">
        <v>44</v>
      </c>
    </row>
    <row r="37" spans="1:7" x14ac:dyDescent="0.25">
      <c r="A37" t="s">
        <v>6</v>
      </c>
      <c r="B37" t="s">
        <v>7</v>
      </c>
      <c r="C37">
        <v>1770</v>
      </c>
      <c r="D37">
        <f>INT(C37/100)+1</f>
        <v>18</v>
      </c>
      <c r="E37">
        <v>1850</v>
      </c>
      <c r="F37" t="s">
        <v>8</v>
      </c>
      <c r="G37" t="s">
        <v>9</v>
      </c>
    </row>
    <row r="38" spans="1:7" x14ac:dyDescent="0.25">
      <c r="A38" t="s">
        <v>6</v>
      </c>
      <c r="B38" t="s">
        <v>7</v>
      </c>
      <c r="C38">
        <v>1780</v>
      </c>
      <c r="D38">
        <f>INT(C38/100)+1</f>
        <v>18</v>
      </c>
      <c r="E38">
        <v>1860</v>
      </c>
      <c r="F38" t="s">
        <v>8</v>
      </c>
      <c r="G38" t="s">
        <v>9</v>
      </c>
    </row>
    <row r="39" spans="1:7" x14ac:dyDescent="0.25">
      <c r="A39" t="s">
        <v>6</v>
      </c>
      <c r="B39" t="s">
        <v>7</v>
      </c>
      <c r="C39">
        <v>1790</v>
      </c>
      <c r="D39">
        <f>INT(C39/100)+1</f>
        <v>18</v>
      </c>
      <c r="E39">
        <v>1870</v>
      </c>
      <c r="F39" t="s">
        <v>8</v>
      </c>
      <c r="G39" t="s">
        <v>9</v>
      </c>
    </row>
    <row r="40" spans="1:7" x14ac:dyDescent="0.25">
      <c r="A40" t="s">
        <v>81</v>
      </c>
      <c r="B40" t="s">
        <v>82</v>
      </c>
      <c r="C40">
        <v>1749</v>
      </c>
      <c r="D40">
        <f>INT(C40/100)+1</f>
        <v>18</v>
      </c>
      <c r="E40">
        <v>1832</v>
      </c>
      <c r="F40" t="s">
        <v>83</v>
      </c>
      <c r="G40" t="s">
        <v>84</v>
      </c>
    </row>
    <row r="41" spans="1:7" x14ac:dyDescent="0.25">
      <c r="A41" t="s">
        <v>81</v>
      </c>
      <c r="B41" t="s">
        <v>82</v>
      </c>
      <c r="C41">
        <v>1759</v>
      </c>
      <c r="D41">
        <f>INT(C41/100)+1</f>
        <v>18</v>
      </c>
      <c r="E41">
        <v>1842</v>
      </c>
      <c r="F41" t="s">
        <v>83</v>
      </c>
      <c r="G41" t="s">
        <v>84</v>
      </c>
    </row>
    <row r="42" spans="1:7" x14ac:dyDescent="0.25">
      <c r="A42" t="s">
        <v>81</v>
      </c>
      <c r="B42" t="s">
        <v>82</v>
      </c>
      <c r="C42">
        <v>1769</v>
      </c>
      <c r="D42">
        <f>INT(C42/100)+1</f>
        <v>18</v>
      </c>
      <c r="E42">
        <v>1852</v>
      </c>
      <c r="F42" t="s">
        <v>83</v>
      </c>
      <c r="G42" t="s">
        <v>84</v>
      </c>
    </row>
    <row r="43" spans="1:7" x14ac:dyDescent="0.25">
      <c r="A43" t="s">
        <v>81</v>
      </c>
      <c r="B43" t="s">
        <v>82</v>
      </c>
      <c r="C43">
        <v>1779</v>
      </c>
      <c r="D43">
        <f>INT(C43/100)+1</f>
        <v>18</v>
      </c>
      <c r="E43">
        <v>1862</v>
      </c>
      <c r="F43" t="s">
        <v>83</v>
      </c>
      <c r="G43" t="s">
        <v>84</v>
      </c>
    </row>
    <row r="44" spans="1:7" x14ac:dyDescent="0.25">
      <c r="A44" t="s">
        <v>81</v>
      </c>
      <c r="B44" t="s">
        <v>82</v>
      </c>
      <c r="C44">
        <v>1789</v>
      </c>
      <c r="D44">
        <f>INT(C44/100)+1</f>
        <v>18</v>
      </c>
      <c r="E44">
        <v>1872</v>
      </c>
      <c r="F44" t="s">
        <v>83</v>
      </c>
      <c r="G44" t="s">
        <v>84</v>
      </c>
    </row>
    <row r="45" spans="1:7" x14ac:dyDescent="0.25">
      <c r="A45" t="s">
        <v>81</v>
      </c>
      <c r="B45" t="s">
        <v>82</v>
      </c>
      <c r="C45">
        <v>1799</v>
      </c>
      <c r="D45">
        <f>INT(C45/100)+1</f>
        <v>18</v>
      </c>
      <c r="E45">
        <v>1882</v>
      </c>
      <c r="F45" t="s">
        <v>83</v>
      </c>
      <c r="G45" t="s">
        <v>84</v>
      </c>
    </row>
    <row r="46" spans="1:7" x14ac:dyDescent="0.25">
      <c r="A46" t="s">
        <v>72</v>
      </c>
      <c r="B46" t="s">
        <v>73</v>
      </c>
      <c r="C46">
        <v>1854</v>
      </c>
      <c r="D46">
        <f>INT(C46/100)+1</f>
        <v>19</v>
      </c>
      <c r="E46">
        <v>1900</v>
      </c>
      <c r="F46" t="s">
        <v>74</v>
      </c>
      <c r="G46" t="s">
        <v>75</v>
      </c>
    </row>
    <row r="47" spans="1:7" x14ac:dyDescent="0.25">
      <c r="A47" t="s">
        <v>72</v>
      </c>
      <c r="B47" t="s">
        <v>73</v>
      </c>
      <c r="C47">
        <v>1864</v>
      </c>
      <c r="D47">
        <f>INT(C47/100)+1</f>
        <v>19</v>
      </c>
      <c r="E47">
        <v>1910</v>
      </c>
      <c r="F47" t="s">
        <v>74</v>
      </c>
      <c r="G47" t="s">
        <v>75</v>
      </c>
    </row>
    <row r="48" spans="1:7" x14ac:dyDescent="0.25">
      <c r="A48" t="s">
        <v>72</v>
      </c>
      <c r="B48" t="s">
        <v>73</v>
      </c>
      <c r="C48">
        <v>1874</v>
      </c>
      <c r="D48">
        <f>INT(C48/100)+1</f>
        <v>19</v>
      </c>
      <c r="E48">
        <v>1920</v>
      </c>
      <c r="F48" t="s">
        <v>74</v>
      </c>
      <c r="G48" t="s">
        <v>75</v>
      </c>
    </row>
    <row r="49" spans="1:7" x14ac:dyDescent="0.25">
      <c r="A49" t="s">
        <v>72</v>
      </c>
      <c r="B49" t="s">
        <v>73</v>
      </c>
      <c r="C49">
        <v>1884</v>
      </c>
      <c r="D49">
        <f>INT(C49/100)+1</f>
        <v>19</v>
      </c>
      <c r="E49">
        <v>1930</v>
      </c>
      <c r="F49" t="s">
        <v>74</v>
      </c>
      <c r="G49" t="s">
        <v>75</v>
      </c>
    </row>
    <row r="50" spans="1:7" x14ac:dyDescent="0.25">
      <c r="A50" t="s">
        <v>72</v>
      </c>
      <c r="B50" t="s">
        <v>73</v>
      </c>
      <c r="C50">
        <v>1894</v>
      </c>
      <c r="D50">
        <f>INT(C50/100)+1</f>
        <v>19</v>
      </c>
      <c r="E50">
        <v>1940</v>
      </c>
      <c r="F50" t="s">
        <v>74</v>
      </c>
      <c r="G50" t="s">
        <v>75</v>
      </c>
    </row>
    <row r="51" spans="1:7" x14ac:dyDescent="0.25">
      <c r="A51" t="s">
        <v>31</v>
      </c>
      <c r="B51" t="s">
        <v>32</v>
      </c>
      <c r="C51">
        <v>1861</v>
      </c>
      <c r="D51">
        <f>INT(C51/100)+1</f>
        <v>19</v>
      </c>
      <c r="E51">
        <v>1941</v>
      </c>
      <c r="F51" t="s">
        <v>33</v>
      </c>
      <c r="G51" t="s">
        <v>34</v>
      </c>
    </row>
    <row r="52" spans="1:7" x14ac:dyDescent="0.25">
      <c r="A52" t="s">
        <v>31</v>
      </c>
      <c r="B52" t="s">
        <v>32</v>
      </c>
      <c r="C52">
        <v>1871</v>
      </c>
      <c r="D52">
        <f>INT(C52/100)+1</f>
        <v>19</v>
      </c>
      <c r="E52">
        <v>1951</v>
      </c>
      <c r="F52" t="s">
        <v>33</v>
      </c>
      <c r="G52" t="s">
        <v>34</v>
      </c>
    </row>
    <row r="53" spans="1:7" x14ac:dyDescent="0.25">
      <c r="A53" t="s">
        <v>31</v>
      </c>
      <c r="B53" t="s">
        <v>32</v>
      </c>
      <c r="C53">
        <v>1881</v>
      </c>
      <c r="D53">
        <f>INT(C53/100)+1</f>
        <v>19</v>
      </c>
      <c r="E53">
        <v>1961</v>
      </c>
      <c r="F53" t="s">
        <v>33</v>
      </c>
      <c r="G53" t="s">
        <v>34</v>
      </c>
    </row>
    <row r="54" spans="1:7" x14ac:dyDescent="0.25">
      <c r="A54" t="s">
        <v>31</v>
      </c>
      <c r="B54" t="s">
        <v>32</v>
      </c>
      <c r="C54">
        <v>1891</v>
      </c>
      <c r="D54">
        <f>INT(C54/100)+1</f>
        <v>19</v>
      </c>
      <c r="E54">
        <v>1971</v>
      </c>
      <c r="F54" t="s">
        <v>33</v>
      </c>
      <c r="G54" t="s">
        <v>34</v>
      </c>
    </row>
    <row r="55" spans="1:7" x14ac:dyDescent="0.25">
      <c r="A55" t="s">
        <v>58</v>
      </c>
      <c r="B55" t="s">
        <v>59</v>
      </c>
      <c r="C55">
        <v>1809</v>
      </c>
      <c r="D55">
        <f>INT(C55/100)+1</f>
        <v>19</v>
      </c>
      <c r="E55">
        <v>1849</v>
      </c>
      <c r="F55" t="s">
        <v>12</v>
      </c>
      <c r="G55" t="s">
        <v>60</v>
      </c>
    </row>
    <row r="56" spans="1:7" x14ac:dyDescent="0.25">
      <c r="A56" t="s">
        <v>58</v>
      </c>
      <c r="B56" t="s">
        <v>59</v>
      </c>
      <c r="C56">
        <v>1819</v>
      </c>
      <c r="D56">
        <f>INT(C56/100)+1</f>
        <v>19</v>
      </c>
      <c r="E56">
        <v>1859</v>
      </c>
      <c r="F56" t="s">
        <v>12</v>
      </c>
      <c r="G56" t="s">
        <v>60</v>
      </c>
    </row>
    <row r="57" spans="1:7" x14ac:dyDescent="0.25">
      <c r="A57" t="s">
        <v>58</v>
      </c>
      <c r="B57" t="s">
        <v>59</v>
      </c>
      <c r="C57">
        <v>1829</v>
      </c>
      <c r="D57">
        <f>INT(C57/100)+1</f>
        <v>19</v>
      </c>
      <c r="E57">
        <v>1869</v>
      </c>
      <c r="F57" t="s">
        <v>12</v>
      </c>
      <c r="G57" t="s">
        <v>60</v>
      </c>
    </row>
    <row r="58" spans="1:7" x14ac:dyDescent="0.25">
      <c r="A58" t="s">
        <v>58</v>
      </c>
      <c r="B58" t="s">
        <v>59</v>
      </c>
      <c r="C58">
        <v>1839</v>
      </c>
      <c r="D58">
        <f>INT(C58/100)+1</f>
        <v>19</v>
      </c>
      <c r="E58">
        <v>1879</v>
      </c>
      <c r="F58" t="s">
        <v>12</v>
      </c>
      <c r="G58" t="s">
        <v>60</v>
      </c>
    </row>
    <row r="59" spans="1:7" x14ac:dyDescent="0.25">
      <c r="A59" t="s">
        <v>58</v>
      </c>
      <c r="B59" t="s">
        <v>59</v>
      </c>
      <c r="C59">
        <v>1849</v>
      </c>
      <c r="D59">
        <f>INT(C59/100)+1</f>
        <v>19</v>
      </c>
      <c r="E59">
        <v>1889</v>
      </c>
      <c r="F59" t="s">
        <v>12</v>
      </c>
      <c r="G59" t="s">
        <v>60</v>
      </c>
    </row>
    <row r="60" spans="1:7" x14ac:dyDescent="0.25">
      <c r="A60" t="s">
        <v>58</v>
      </c>
      <c r="B60" t="s">
        <v>59</v>
      </c>
      <c r="C60">
        <v>1859</v>
      </c>
      <c r="D60">
        <f>INT(C60/100)+1</f>
        <v>19</v>
      </c>
      <c r="E60">
        <v>1899</v>
      </c>
      <c r="F60" t="s">
        <v>12</v>
      </c>
      <c r="G60" t="s">
        <v>60</v>
      </c>
    </row>
    <row r="61" spans="1:7" x14ac:dyDescent="0.25">
      <c r="A61" t="s">
        <v>58</v>
      </c>
      <c r="B61" t="s">
        <v>59</v>
      </c>
      <c r="C61">
        <v>1869</v>
      </c>
      <c r="D61">
        <f>INT(C61/100)+1</f>
        <v>19</v>
      </c>
      <c r="E61">
        <v>1909</v>
      </c>
      <c r="F61" t="s">
        <v>12</v>
      </c>
      <c r="G61" t="s">
        <v>60</v>
      </c>
    </row>
    <row r="62" spans="1:7" x14ac:dyDescent="0.25">
      <c r="A62" t="s">
        <v>58</v>
      </c>
      <c r="B62" t="s">
        <v>59</v>
      </c>
      <c r="C62">
        <v>1879</v>
      </c>
      <c r="D62">
        <f>INT(C62/100)+1</f>
        <v>19</v>
      </c>
      <c r="E62">
        <v>1919</v>
      </c>
      <c r="F62" t="s">
        <v>12</v>
      </c>
      <c r="G62" t="s">
        <v>60</v>
      </c>
    </row>
    <row r="63" spans="1:7" x14ac:dyDescent="0.25">
      <c r="A63" t="s">
        <v>17</v>
      </c>
      <c r="B63" t="s">
        <v>18</v>
      </c>
      <c r="C63">
        <v>1830</v>
      </c>
      <c r="D63">
        <f>INT(C63/100)+1</f>
        <v>19</v>
      </c>
      <c r="E63">
        <v>1886</v>
      </c>
      <c r="F63" t="s">
        <v>12</v>
      </c>
      <c r="G63" t="s">
        <v>19</v>
      </c>
    </row>
    <row r="64" spans="1:7" x14ac:dyDescent="0.25">
      <c r="A64" t="s">
        <v>17</v>
      </c>
      <c r="B64" t="s">
        <v>18</v>
      </c>
      <c r="C64">
        <v>1840</v>
      </c>
      <c r="D64">
        <f>INT(C64/100)+1</f>
        <v>19</v>
      </c>
      <c r="E64">
        <v>1896</v>
      </c>
      <c r="F64" t="s">
        <v>12</v>
      </c>
      <c r="G64" t="s">
        <v>19</v>
      </c>
    </row>
    <row r="65" spans="1:7" x14ac:dyDescent="0.25">
      <c r="A65" t="s">
        <v>17</v>
      </c>
      <c r="B65" t="s">
        <v>18</v>
      </c>
      <c r="C65">
        <v>1850</v>
      </c>
      <c r="D65">
        <f>INT(C65/100)+1</f>
        <v>19</v>
      </c>
      <c r="E65">
        <v>1906</v>
      </c>
      <c r="F65" t="s">
        <v>12</v>
      </c>
      <c r="G65" t="s">
        <v>19</v>
      </c>
    </row>
    <row r="66" spans="1:7" x14ac:dyDescent="0.25">
      <c r="A66" t="s">
        <v>17</v>
      </c>
      <c r="B66" t="s">
        <v>18</v>
      </c>
      <c r="C66">
        <v>1860</v>
      </c>
      <c r="D66">
        <f>INT(C66/100)+1</f>
        <v>19</v>
      </c>
      <c r="E66">
        <v>1916</v>
      </c>
      <c r="F66" t="s">
        <v>12</v>
      </c>
      <c r="G66" t="s">
        <v>19</v>
      </c>
    </row>
    <row r="67" spans="1:7" x14ac:dyDescent="0.25">
      <c r="A67" t="s">
        <v>17</v>
      </c>
      <c r="B67" t="s">
        <v>18</v>
      </c>
      <c r="C67">
        <v>1870</v>
      </c>
      <c r="D67">
        <f>INT(C67/100)+1</f>
        <v>19</v>
      </c>
      <c r="E67">
        <v>1926</v>
      </c>
      <c r="F67" t="s">
        <v>12</v>
      </c>
      <c r="G67" t="s">
        <v>19</v>
      </c>
    </row>
    <row r="68" spans="1:7" x14ac:dyDescent="0.25">
      <c r="A68" t="s">
        <v>17</v>
      </c>
      <c r="B68" t="s">
        <v>18</v>
      </c>
      <c r="C68">
        <v>1880</v>
      </c>
      <c r="D68">
        <f>INT(C68/100)+1</f>
        <v>19</v>
      </c>
      <c r="E68">
        <v>1936</v>
      </c>
      <c r="F68" t="s">
        <v>12</v>
      </c>
      <c r="G68" t="s">
        <v>19</v>
      </c>
    </row>
    <row r="69" spans="1:7" x14ac:dyDescent="0.25">
      <c r="A69" t="s">
        <v>17</v>
      </c>
      <c r="B69" t="s">
        <v>18</v>
      </c>
      <c r="C69">
        <v>1890</v>
      </c>
      <c r="D69">
        <f>INT(C69/100)+1</f>
        <v>19</v>
      </c>
      <c r="E69">
        <v>1946</v>
      </c>
      <c r="F69" t="s">
        <v>12</v>
      </c>
      <c r="G69" t="s">
        <v>19</v>
      </c>
    </row>
    <row r="70" spans="1:7" x14ac:dyDescent="0.25">
      <c r="A70" t="s">
        <v>76</v>
      </c>
      <c r="B70" t="s">
        <v>77</v>
      </c>
      <c r="C70">
        <v>1882</v>
      </c>
      <c r="D70">
        <f>INT(C70/100)+1</f>
        <v>19</v>
      </c>
      <c r="E70">
        <v>1941</v>
      </c>
      <c r="F70" t="s">
        <v>8</v>
      </c>
      <c r="G70" t="s">
        <v>78</v>
      </c>
    </row>
    <row r="71" spans="1:7" x14ac:dyDescent="0.25">
      <c r="A71" t="s">
        <v>76</v>
      </c>
      <c r="B71" t="s">
        <v>77</v>
      </c>
      <c r="C71">
        <v>1892</v>
      </c>
      <c r="D71">
        <f>INT(C71/100)+1</f>
        <v>19</v>
      </c>
      <c r="E71">
        <v>1951</v>
      </c>
      <c r="F71" t="s">
        <v>8</v>
      </c>
      <c r="G71" t="s">
        <v>78</v>
      </c>
    </row>
    <row r="72" spans="1:7" x14ac:dyDescent="0.25">
      <c r="A72" t="s">
        <v>55</v>
      </c>
      <c r="B72" t="s">
        <v>56</v>
      </c>
      <c r="C72">
        <v>1874</v>
      </c>
      <c r="D72">
        <f>INT(C72/100)+1</f>
        <v>19</v>
      </c>
      <c r="E72">
        <v>1963</v>
      </c>
      <c r="F72" t="s">
        <v>12</v>
      </c>
      <c r="G72" t="s">
        <v>57</v>
      </c>
    </row>
    <row r="73" spans="1:7" x14ac:dyDescent="0.25">
      <c r="A73" t="s">
        <v>55</v>
      </c>
      <c r="B73" t="s">
        <v>56</v>
      </c>
      <c r="C73">
        <v>1884</v>
      </c>
      <c r="D73">
        <f>INT(C73/100)+1</f>
        <v>19</v>
      </c>
      <c r="E73">
        <v>1973</v>
      </c>
      <c r="F73" t="s">
        <v>12</v>
      </c>
      <c r="G73" t="s">
        <v>57</v>
      </c>
    </row>
    <row r="74" spans="1:7" x14ac:dyDescent="0.25">
      <c r="A74" t="s">
        <v>55</v>
      </c>
      <c r="B74" t="s">
        <v>56</v>
      </c>
      <c r="C74">
        <v>1894</v>
      </c>
      <c r="D74">
        <f>INT(C74/100)+1</f>
        <v>19</v>
      </c>
      <c r="E74">
        <v>1983</v>
      </c>
      <c r="F74" t="s">
        <v>12</v>
      </c>
      <c r="G74" t="s">
        <v>57</v>
      </c>
    </row>
    <row r="75" spans="1:7" x14ac:dyDescent="0.25">
      <c r="A75" t="s">
        <v>42</v>
      </c>
      <c r="B75" t="s">
        <v>43</v>
      </c>
      <c r="C75">
        <v>1805</v>
      </c>
      <c r="D75">
        <f>INT(C75/100)+1</f>
        <v>19</v>
      </c>
      <c r="E75">
        <v>1831</v>
      </c>
      <c r="F75" t="s">
        <v>8</v>
      </c>
      <c r="G75" t="s">
        <v>44</v>
      </c>
    </row>
    <row r="76" spans="1:7" x14ac:dyDescent="0.25">
      <c r="A76" t="s">
        <v>70</v>
      </c>
      <c r="B76" t="s">
        <v>71</v>
      </c>
      <c r="C76">
        <v>1808</v>
      </c>
      <c r="D76">
        <f>INT(C76/100)+1</f>
        <v>19</v>
      </c>
      <c r="E76">
        <v>1844</v>
      </c>
      <c r="F76" t="s">
        <v>8</v>
      </c>
      <c r="G76" t="s">
        <v>44</v>
      </c>
    </row>
    <row r="77" spans="1:7" x14ac:dyDescent="0.25">
      <c r="A77" t="s">
        <v>42</v>
      </c>
      <c r="B77" t="s">
        <v>43</v>
      </c>
      <c r="C77">
        <v>1815</v>
      </c>
      <c r="D77">
        <f>INT(C77/100)+1</f>
        <v>19</v>
      </c>
      <c r="E77">
        <v>1841</v>
      </c>
      <c r="F77" t="s">
        <v>8</v>
      </c>
      <c r="G77" t="s">
        <v>44</v>
      </c>
    </row>
    <row r="78" spans="1:7" x14ac:dyDescent="0.25">
      <c r="A78" t="s">
        <v>70</v>
      </c>
      <c r="B78" t="s">
        <v>71</v>
      </c>
      <c r="C78">
        <v>1818</v>
      </c>
      <c r="D78">
        <f>INT(C78/100)+1</f>
        <v>19</v>
      </c>
      <c r="E78">
        <v>1854</v>
      </c>
      <c r="F78" t="s">
        <v>8</v>
      </c>
      <c r="G78" t="s">
        <v>44</v>
      </c>
    </row>
    <row r="79" spans="1:7" x14ac:dyDescent="0.25">
      <c r="A79" t="s">
        <v>42</v>
      </c>
      <c r="B79" t="s">
        <v>43</v>
      </c>
      <c r="C79">
        <v>1825</v>
      </c>
      <c r="D79">
        <f>INT(C79/100)+1</f>
        <v>19</v>
      </c>
      <c r="E79">
        <v>1851</v>
      </c>
      <c r="F79" t="s">
        <v>8</v>
      </c>
      <c r="G79" t="s">
        <v>44</v>
      </c>
    </row>
    <row r="80" spans="1:7" x14ac:dyDescent="0.25">
      <c r="A80" t="s">
        <v>70</v>
      </c>
      <c r="B80" t="s">
        <v>71</v>
      </c>
      <c r="C80">
        <v>1828</v>
      </c>
      <c r="D80">
        <f>INT(C80/100)+1</f>
        <v>19</v>
      </c>
      <c r="E80">
        <v>1864</v>
      </c>
      <c r="F80" t="s">
        <v>8</v>
      </c>
      <c r="G80" t="s">
        <v>44</v>
      </c>
    </row>
    <row r="81" spans="1:7" x14ac:dyDescent="0.25">
      <c r="A81" t="s">
        <v>42</v>
      </c>
      <c r="B81" t="s">
        <v>43</v>
      </c>
      <c r="C81">
        <v>1835</v>
      </c>
      <c r="D81">
        <f>INT(C81/100)+1</f>
        <v>19</v>
      </c>
      <c r="E81">
        <v>1861</v>
      </c>
      <c r="F81" t="s">
        <v>8</v>
      </c>
      <c r="G81" t="s">
        <v>44</v>
      </c>
    </row>
    <row r="82" spans="1:7" x14ac:dyDescent="0.25">
      <c r="A82" t="s">
        <v>70</v>
      </c>
      <c r="B82" t="s">
        <v>71</v>
      </c>
      <c r="C82">
        <v>1838</v>
      </c>
      <c r="D82">
        <f>INT(C82/100)+1</f>
        <v>19</v>
      </c>
      <c r="E82">
        <v>1874</v>
      </c>
      <c r="F82" t="s">
        <v>8</v>
      </c>
      <c r="G82" t="s">
        <v>44</v>
      </c>
    </row>
    <row r="83" spans="1:7" x14ac:dyDescent="0.25">
      <c r="A83" t="s">
        <v>42</v>
      </c>
      <c r="B83" t="s">
        <v>43</v>
      </c>
      <c r="C83">
        <v>1845</v>
      </c>
      <c r="D83">
        <f>INT(C83/100)+1</f>
        <v>19</v>
      </c>
      <c r="E83">
        <v>1871</v>
      </c>
      <c r="F83" t="s">
        <v>8</v>
      </c>
      <c r="G83" t="s">
        <v>44</v>
      </c>
    </row>
    <row r="84" spans="1:7" x14ac:dyDescent="0.25">
      <c r="A84" t="s">
        <v>70</v>
      </c>
      <c r="B84" t="s">
        <v>71</v>
      </c>
      <c r="C84">
        <v>1848</v>
      </c>
      <c r="D84">
        <f>INT(C84/100)+1</f>
        <v>19</v>
      </c>
      <c r="E84">
        <v>1884</v>
      </c>
      <c r="F84" t="s">
        <v>8</v>
      </c>
      <c r="G84" t="s">
        <v>44</v>
      </c>
    </row>
    <row r="85" spans="1:7" x14ac:dyDescent="0.25">
      <c r="A85" t="s">
        <v>42</v>
      </c>
      <c r="B85" t="s">
        <v>43</v>
      </c>
      <c r="C85">
        <v>1855</v>
      </c>
      <c r="D85">
        <f>INT(C85/100)+1</f>
        <v>19</v>
      </c>
      <c r="E85">
        <v>1881</v>
      </c>
      <c r="F85" t="s">
        <v>8</v>
      </c>
      <c r="G85" t="s">
        <v>44</v>
      </c>
    </row>
    <row r="86" spans="1:7" x14ac:dyDescent="0.25">
      <c r="A86" t="s">
        <v>70</v>
      </c>
      <c r="B86" t="s">
        <v>71</v>
      </c>
      <c r="C86">
        <v>1858</v>
      </c>
      <c r="D86">
        <f>INT(C86/100)+1</f>
        <v>19</v>
      </c>
      <c r="E86">
        <v>1894</v>
      </c>
      <c r="F86" t="s">
        <v>8</v>
      </c>
      <c r="G86" t="s">
        <v>44</v>
      </c>
    </row>
    <row r="87" spans="1:7" x14ac:dyDescent="0.25">
      <c r="A87" t="s">
        <v>42</v>
      </c>
      <c r="B87" t="s">
        <v>43</v>
      </c>
      <c r="C87">
        <v>1865</v>
      </c>
      <c r="D87">
        <f>INT(C87/100)+1</f>
        <v>19</v>
      </c>
      <c r="E87">
        <v>1891</v>
      </c>
      <c r="F87" t="s">
        <v>8</v>
      </c>
      <c r="G87" t="s">
        <v>44</v>
      </c>
    </row>
    <row r="88" spans="1:7" x14ac:dyDescent="0.25">
      <c r="A88" t="s">
        <v>6</v>
      </c>
      <c r="B88" t="s">
        <v>7</v>
      </c>
      <c r="C88">
        <v>1800</v>
      </c>
      <c r="D88">
        <f>INT(C88/100)+1</f>
        <v>19</v>
      </c>
      <c r="E88">
        <v>1880</v>
      </c>
      <c r="F88" t="s">
        <v>8</v>
      </c>
      <c r="G88" t="s">
        <v>9</v>
      </c>
    </row>
    <row r="89" spans="1:7" x14ac:dyDescent="0.25">
      <c r="A89" t="s">
        <v>6</v>
      </c>
      <c r="B89" t="s">
        <v>7</v>
      </c>
      <c r="C89">
        <v>1810</v>
      </c>
      <c r="D89">
        <f>INT(C89/100)+1</f>
        <v>19</v>
      </c>
      <c r="E89">
        <v>1890</v>
      </c>
      <c r="F89" t="s">
        <v>8</v>
      </c>
      <c r="G89" t="s">
        <v>9</v>
      </c>
    </row>
    <row r="90" spans="1:7" x14ac:dyDescent="0.25">
      <c r="A90" t="s">
        <v>6</v>
      </c>
      <c r="B90" t="s">
        <v>7</v>
      </c>
      <c r="C90">
        <v>1820</v>
      </c>
      <c r="D90">
        <f>INT(C90/100)+1</f>
        <v>19</v>
      </c>
      <c r="E90">
        <v>1900</v>
      </c>
      <c r="F90" t="s">
        <v>8</v>
      </c>
      <c r="G90" t="s">
        <v>9</v>
      </c>
    </row>
    <row r="91" spans="1:7" x14ac:dyDescent="0.25">
      <c r="A91" t="s">
        <v>6</v>
      </c>
      <c r="B91" t="s">
        <v>7</v>
      </c>
      <c r="C91">
        <v>1830</v>
      </c>
      <c r="D91">
        <f>INT(C91/100)+1</f>
        <v>19</v>
      </c>
      <c r="E91">
        <v>1910</v>
      </c>
      <c r="F91" t="s">
        <v>8</v>
      </c>
      <c r="G91" t="s">
        <v>9</v>
      </c>
    </row>
    <row r="92" spans="1:7" x14ac:dyDescent="0.25">
      <c r="A92" t="s">
        <v>6</v>
      </c>
      <c r="B92" t="s">
        <v>7</v>
      </c>
      <c r="C92">
        <v>1840</v>
      </c>
      <c r="D92">
        <f>INT(C92/100)+1</f>
        <v>19</v>
      </c>
      <c r="E92">
        <v>1920</v>
      </c>
      <c r="F92" t="s">
        <v>8</v>
      </c>
      <c r="G92" t="s">
        <v>9</v>
      </c>
    </row>
    <row r="93" spans="1:7" x14ac:dyDescent="0.25">
      <c r="A93" t="s">
        <v>81</v>
      </c>
      <c r="B93" t="s">
        <v>82</v>
      </c>
      <c r="C93">
        <v>1809</v>
      </c>
      <c r="D93">
        <f>INT(C93/100)+1</f>
        <v>19</v>
      </c>
      <c r="E93">
        <v>1892</v>
      </c>
      <c r="F93" t="s">
        <v>83</v>
      </c>
      <c r="G93" t="s">
        <v>84</v>
      </c>
    </row>
    <row r="94" spans="1:7" x14ac:dyDescent="0.25">
      <c r="A94" t="s">
        <v>81</v>
      </c>
      <c r="B94" t="s">
        <v>82</v>
      </c>
      <c r="C94">
        <v>1819</v>
      </c>
      <c r="D94">
        <f>INT(C94/100)+1</f>
        <v>19</v>
      </c>
      <c r="E94">
        <v>1902</v>
      </c>
      <c r="F94" t="s">
        <v>83</v>
      </c>
      <c r="G94" t="s">
        <v>84</v>
      </c>
    </row>
    <row r="95" spans="1:7" x14ac:dyDescent="0.25">
      <c r="A95" t="s">
        <v>85</v>
      </c>
      <c r="B95" t="s">
        <v>86</v>
      </c>
      <c r="C95">
        <v>1898</v>
      </c>
      <c r="D95">
        <f>INT(C95/100)+1</f>
        <v>19</v>
      </c>
      <c r="E95">
        <v>1936</v>
      </c>
      <c r="F95" t="s">
        <v>87</v>
      </c>
      <c r="G95" t="s">
        <v>27</v>
      </c>
    </row>
    <row r="96" spans="1:7" x14ac:dyDescent="0.25">
      <c r="A96" t="s">
        <v>48</v>
      </c>
      <c r="B96" t="s">
        <v>49</v>
      </c>
      <c r="C96">
        <v>1821</v>
      </c>
      <c r="D96">
        <f>INT(C96/100)+1</f>
        <v>19</v>
      </c>
      <c r="E96">
        <v>1867</v>
      </c>
      <c r="F96" t="s">
        <v>50</v>
      </c>
      <c r="G96" t="s">
        <v>51</v>
      </c>
    </row>
    <row r="97" spans="1:7" x14ac:dyDescent="0.25">
      <c r="A97" t="s">
        <v>48</v>
      </c>
      <c r="B97" t="s">
        <v>49</v>
      </c>
      <c r="C97">
        <v>1831</v>
      </c>
      <c r="D97">
        <f>INT(C97/100)+1</f>
        <v>19</v>
      </c>
      <c r="E97">
        <v>1877</v>
      </c>
      <c r="F97" t="s">
        <v>50</v>
      </c>
      <c r="G97" t="s">
        <v>51</v>
      </c>
    </row>
    <row r="98" spans="1:7" x14ac:dyDescent="0.25">
      <c r="A98" t="s">
        <v>48</v>
      </c>
      <c r="B98" t="s">
        <v>49</v>
      </c>
      <c r="C98">
        <v>1841</v>
      </c>
      <c r="D98">
        <f>INT(C98/100)+1</f>
        <v>19</v>
      </c>
      <c r="E98">
        <v>1887</v>
      </c>
      <c r="F98" t="s">
        <v>50</v>
      </c>
      <c r="G98" t="s">
        <v>51</v>
      </c>
    </row>
    <row r="99" spans="1:7" x14ac:dyDescent="0.25">
      <c r="A99" t="s">
        <v>48</v>
      </c>
      <c r="B99" t="s">
        <v>49</v>
      </c>
      <c r="C99">
        <v>1851</v>
      </c>
      <c r="D99">
        <f>INT(C99/100)+1</f>
        <v>19</v>
      </c>
      <c r="E99">
        <v>1897</v>
      </c>
      <c r="F99" t="s">
        <v>50</v>
      </c>
      <c r="G99" t="s">
        <v>51</v>
      </c>
    </row>
    <row r="100" spans="1:7" x14ac:dyDescent="0.25">
      <c r="A100" t="s">
        <v>79</v>
      </c>
      <c r="B100" t="s">
        <v>80</v>
      </c>
      <c r="C100">
        <v>1854</v>
      </c>
      <c r="D100">
        <f>INT(C100/100)+1</f>
        <v>19</v>
      </c>
      <c r="E100">
        <v>1891</v>
      </c>
      <c r="F100" t="s">
        <v>50</v>
      </c>
      <c r="G100" t="s">
        <v>51</v>
      </c>
    </row>
    <row r="101" spans="1:7" x14ac:dyDescent="0.25">
      <c r="A101" t="s">
        <v>48</v>
      </c>
      <c r="B101" t="s">
        <v>49</v>
      </c>
      <c r="C101">
        <v>1861</v>
      </c>
      <c r="D101">
        <f>INT(C101/100)+1</f>
        <v>19</v>
      </c>
      <c r="E101">
        <v>1907</v>
      </c>
      <c r="F101" t="s">
        <v>50</v>
      </c>
      <c r="G101" t="s">
        <v>51</v>
      </c>
    </row>
    <row r="102" spans="1:7" x14ac:dyDescent="0.25">
      <c r="A102" t="s">
        <v>79</v>
      </c>
      <c r="B102" t="s">
        <v>80</v>
      </c>
      <c r="C102">
        <v>1864</v>
      </c>
      <c r="D102">
        <f>INT(C102/100)+1</f>
        <v>19</v>
      </c>
      <c r="E102">
        <v>1901</v>
      </c>
      <c r="F102" t="s">
        <v>50</v>
      </c>
      <c r="G102" t="s">
        <v>51</v>
      </c>
    </row>
    <row r="103" spans="1:7" x14ac:dyDescent="0.25">
      <c r="A103" t="s">
        <v>48</v>
      </c>
      <c r="B103" t="s">
        <v>49</v>
      </c>
      <c r="C103">
        <v>1871</v>
      </c>
      <c r="D103">
        <f>INT(C103/100)+1</f>
        <v>19</v>
      </c>
      <c r="E103">
        <v>1917</v>
      </c>
      <c r="F103" t="s">
        <v>50</v>
      </c>
      <c r="G103" t="s">
        <v>51</v>
      </c>
    </row>
    <row r="104" spans="1:7" x14ac:dyDescent="0.25">
      <c r="A104" t="s">
        <v>79</v>
      </c>
      <c r="B104" t="s">
        <v>80</v>
      </c>
      <c r="C104">
        <v>1874</v>
      </c>
      <c r="D104">
        <f>INT(C104/100)+1</f>
        <v>19</v>
      </c>
      <c r="E104">
        <v>1911</v>
      </c>
      <c r="F104" t="s">
        <v>50</v>
      </c>
      <c r="G104" t="s">
        <v>51</v>
      </c>
    </row>
    <row r="105" spans="1:7" x14ac:dyDescent="0.25">
      <c r="A105" t="s">
        <v>48</v>
      </c>
      <c r="B105" t="s">
        <v>49</v>
      </c>
      <c r="C105">
        <v>1881</v>
      </c>
      <c r="D105">
        <f>INT(C105/100)+1</f>
        <v>19</v>
      </c>
      <c r="E105">
        <v>1927</v>
      </c>
      <c r="F105" t="s">
        <v>50</v>
      </c>
      <c r="G105" t="s">
        <v>51</v>
      </c>
    </row>
    <row r="106" spans="1:7" x14ac:dyDescent="0.25">
      <c r="A106" t="s">
        <v>79</v>
      </c>
      <c r="B106" t="s">
        <v>80</v>
      </c>
      <c r="C106">
        <v>1884</v>
      </c>
      <c r="D106">
        <f>INT(C106/100)+1</f>
        <v>19</v>
      </c>
      <c r="E106">
        <v>1921</v>
      </c>
      <c r="F106" t="s">
        <v>50</v>
      </c>
      <c r="G106" t="s">
        <v>51</v>
      </c>
    </row>
    <row r="107" spans="1:7" x14ac:dyDescent="0.25">
      <c r="A107" t="s">
        <v>48</v>
      </c>
      <c r="B107" t="s">
        <v>49</v>
      </c>
      <c r="C107">
        <v>1891</v>
      </c>
      <c r="D107">
        <f>INT(C107/100)+1</f>
        <v>19</v>
      </c>
      <c r="E107">
        <v>1937</v>
      </c>
      <c r="F107" t="s">
        <v>50</v>
      </c>
      <c r="G107" t="s">
        <v>51</v>
      </c>
    </row>
    <row r="108" spans="1:7" x14ac:dyDescent="0.25">
      <c r="A108" t="s">
        <v>79</v>
      </c>
      <c r="B108" t="s">
        <v>80</v>
      </c>
      <c r="C108">
        <v>1894</v>
      </c>
      <c r="D108">
        <f>INT(C108/100)+1</f>
        <v>19</v>
      </c>
      <c r="E108">
        <v>1931</v>
      </c>
      <c r="F108" t="s">
        <v>50</v>
      </c>
      <c r="G108" t="s">
        <v>51</v>
      </c>
    </row>
    <row r="109" spans="1:7" x14ac:dyDescent="0.25">
      <c r="A109" t="s">
        <v>35</v>
      </c>
      <c r="B109" t="s">
        <v>36</v>
      </c>
      <c r="C109">
        <v>1819</v>
      </c>
      <c r="D109">
        <f>INT(C109/100)+1</f>
        <v>19</v>
      </c>
      <c r="E109">
        <v>1892</v>
      </c>
      <c r="F109" t="s">
        <v>12</v>
      </c>
      <c r="G109" t="s">
        <v>37</v>
      </c>
    </row>
    <row r="110" spans="1:7" x14ac:dyDescent="0.25">
      <c r="A110" t="s">
        <v>35</v>
      </c>
      <c r="B110" t="s">
        <v>36</v>
      </c>
      <c r="C110">
        <v>1829</v>
      </c>
      <c r="D110">
        <f>INT(C110/100)+1</f>
        <v>19</v>
      </c>
      <c r="E110">
        <v>1902</v>
      </c>
      <c r="F110" t="s">
        <v>12</v>
      </c>
      <c r="G110" t="s">
        <v>37</v>
      </c>
    </row>
    <row r="111" spans="1:7" x14ac:dyDescent="0.25">
      <c r="A111" t="s">
        <v>35</v>
      </c>
      <c r="B111" t="s">
        <v>36</v>
      </c>
      <c r="C111">
        <v>1839</v>
      </c>
      <c r="D111">
        <f>INT(C111/100)+1</f>
        <v>19</v>
      </c>
      <c r="E111">
        <v>1912</v>
      </c>
      <c r="F111" t="s">
        <v>12</v>
      </c>
      <c r="G111" t="s">
        <v>37</v>
      </c>
    </row>
    <row r="112" spans="1:7" x14ac:dyDescent="0.25">
      <c r="A112" t="s">
        <v>35</v>
      </c>
      <c r="B112" t="s">
        <v>36</v>
      </c>
      <c r="C112">
        <v>1849</v>
      </c>
      <c r="D112">
        <f>INT(C112/100)+1</f>
        <v>19</v>
      </c>
      <c r="E112">
        <v>1922</v>
      </c>
      <c r="F112" t="s">
        <v>12</v>
      </c>
      <c r="G112" t="s">
        <v>37</v>
      </c>
    </row>
    <row r="113" spans="1:7" x14ac:dyDescent="0.25">
      <c r="A113" t="s">
        <v>35</v>
      </c>
      <c r="B113" t="s">
        <v>36</v>
      </c>
      <c r="C113">
        <v>1859</v>
      </c>
      <c r="D113">
        <f>INT(C113/100)+1</f>
        <v>19</v>
      </c>
      <c r="E113">
        <v>1932</v>
      </c>
      <c r="F113" t="s">
        <v>12</v>
      </c>
      <c r="G113" t="s">
        <v>37</v>
      </c>
    </row>
    <row r="114" spans="1:7" x14ac:dyDescent="0.25">
      <c r="A114" t="s">
        <v>35</v>
      </c>
      <c r="B114" t="s">
        <v>36</v>
      </c>
      <c r="C114">
        <v>1869</v>
      </c>
      <c r="D114">
        <f>INT(C114/100)+1</f>
        <v>19</v>
      </c>
      <c r="E114">
        <v>1942</v>
      </c>
      <c r="F114" t="s">
        <v>12</v>
      </c>
      <c r="G114" t="s">
        <v>37</v>
      </c>
    </row>
    <row r="115" spans="1:7" x14ac:dyDescent="0.25">
      <c r="A115" t="s">
        <v>35</v>
      </c>
      <c r="B115" t="s">
        <v>36</v>
      </c>
      <c r="C115">
        <v>1879</v>
      </c>
      <c r="D115">
        <f>INT(C115/100)+1</f>
        <v>19</v>
      </c>
      <c r="E115">
        <v>1952</v>
      </c>
      <c r="F115" t="s">
        <v>12</v>
      </c>
      <c r="G115" t="s">
        <v>37</v>
      </c>
    </row>
    <row r="116" spans="1:7" x14ac:dyDescent="0.25">
      <c r="A116" t="s">
        <v>35</v>
      </c>
      <c r="B116" t="s">
        <v>36</v>
      </c>
      <c r="C116">
        <v>1889</v>
      </c>
      <c r="D116">
        <f>INT(C116/100)+1</f>
        <v>19</v>
      </c>
      <c r="E116">
        <v>1962</v>
      </c>
      <c r="F116" t="s">
        <v>12</v>
      </c>
      <c r="G116" t="s">
        <v>37</v>
      </c>
    </row>
    <row r="117" spans="1:7" x14ac:dyDescent="0.25">
      <c r="A117" t="s">
        <v>45</v>
      </c>
      <c r="B117" t="s">
        <v>46</v>
      </c>
      <c r="C117">
        <v>1806</v>
      </c>
      <c r="D117">
        <f>INT(C117/100)+1</f>
        <v>19</v>
      </c>
      <c r="E117">
        <v>1861</v>
      </c>
      <c r="F117" t="s">
        <v>8</v>
      </c>
      <c r="G117" t="s">
        <v>47</v>
      </c>
    </row>
    <row r="118" spans="1:7" x14ac:dyDescent="0.25">
      <c r="A118" t="s">
        <v>45</v>
      </c>
      <c r="B118" t="s">
        <v>46</v>
      </c>
      <c r="C118">
        <v>1816</v>
      </c>
      <c r="D118">
        <f>INT(C118/100)+1</f>
        <v>19</v>
      </c>
      <c r="E118">
        <v>1871</v>
      </c>
      <c r="F118" t="s">
        <v>8</v>
      </c>
      <c r="G118" t="s">
        <v>47</v>
      </c>
    </row>
    <row r="119" spans="1:7" x14ac:dyDescent="0.25">
      <c r="A119" t="s">
        <v>45</v>
      </c>
      <c r="B119" t="s">
        <v>46</v>
      </c>
      <c r="C119">
        <v>1826</v>
      </c>
      <c r="D119">
        <f>INT(C119/100)+1</f>
        <v>19</v>
      </c>
      <c r="E119">
        <v>1881</v>
      </c>
      <c r="F119" t="s">
        <v>8</v>
      </c>
      <c r="G119" t="s">
        <v>47</v>
      </c>
    </row>
    <row r="120" spans="1:7" x14ac:dyDescent="0.25">
      <c r="A120" t="s">
        <v>45</v>
      </c>
      <c r="B120" t="s">
        <v>46</v>
      </c>
      <c r="C120">
        <v>1836</v>
      </c>
      <c r="D120">
        <f>INT(C120/100)+1</f>
        <v>19</v>
      </c>
      <c r="E120">
        <v>1891</v>
      </c>
      <c r="F120" t="s">
        <v>8</v>
      </c>
      <c r="G120" t="s">
        <v>47</v>
      </c>
    </row>
    <row r="121" spans="1:7" x14ac:dyDescent="0.25">
      <c r="A121" t="s">
        <v>45</v>
      </c>
      <c r="B121" t="s">
        <v>46</v>
      </c>
      <c r="C121">
        <v>1846</v>
      </c>
      <c r="D121">
        <f>INT(C121/100)+1</f>
        <v>19</v>
      </c>
      <c r="E121">
        <v>1901</v>
      </c>
      <c r="F121" t="s">
        <v>8</v>
      </c>
      <c r="G121" t="s">
        <v>47</v>
      </c>
    </row>
    <row r="122" spans="1:7" x14ac:dyDescent="0.25">
      <c r="A122" t="s">
        <v>45</v>
      </c>
      <c r="B122" t="s">
        <v>46</v>
      </c>
      <c r="C122">
        <v>1856</v>
      </c>
      <c r="D122">
        <f>INT(C122/100)+1</f>
        <v>19</v>
      </c>
      <c r="E122">
        <v>1911</v>
      </c>
      <c r="F122" t="s">
        <v>8</v>
      </c>
      <c r="G122" t="s">
        <v>47</v>
      </c>
    </row>
    <row r="123" spans="1:7" x14ac:dyDescent="0.25">
      <c r="A123" t="s">
        <v>45</v>
      </c>
      <c r="B123" t="s">
        <v>46</v>
      </c>
      <c r="C123">
        <v>1866</v>
      </c>
      <c r="D123">
        <f>INT(C123/100)+1</f>
        <v>19</v>
      </c>
      <c r="E123">
        <v>1921</v>
      </c>
      <c r="F123" t="s">
        <v>8</v>
      </c>
      <c r="G123" t="s">
        <v>47</v>
      </c>
    </row>
    <row r="124" spans="1:7" x14ac:dyDescent="0.25">
      <c r="A124" t="s">
        <v>45</v>
      </c>
      <c r="B124" t="s">
        <v>46</v>
      </c>
      <c r="C124">
        <v>1876</v>
      </c>
      <c r="D124">
        <f>INT(C124/100)+1</f>
        <v>19</v>
      </c>
      <c r="E124">
        <v>1931</v>
      </c>
      <c r="F124" t="s">
        <v>8</v>
      </c>
      <c r="G124" t="s">
        <v>47</v>
      </c>
    </row>
    <row r="125" spans="1:7" x14ac:dyDescent="0.25">
      <c r="A125" t="s">
        <v>72</v>
      </c>
      <c r="B125" t="s">
        <v>73</v>
      </c>
      <c r="C125">
        <v>1904</v>
      </c>
      <c r="D125">
        <f>INT(C125/100)+1</f>
        <v>20</v>
      </c>
      <c r="E125">
        <v>1950</v>
      </c>
      <c r="F125" t="s">
        <v>74</v>
      </c>
      <c r="G125" t="s">
        <v>75</v>
      </c>
    </row>
    <row r="126" spans="1:7" x14ac:dyDescent="0.25">
      <c r="A126" t="s">
        <v>72</v>
      </c>
      <c r="B126" t="s">
        <v>73</v>
      </c>
      <c r="C126">
        <v>1914</v>
      </c>
      <c r="D126">
        <f>INT(C126/100)+1</f>
        <v>20</v>
      </c>
      <c r="E126">
        <v>1960</v>
      </c>
      <c r="F126" t="s">
        <v>74</v>
      </c>
      <c r="G126" t="s">
        <v>75</v>
      </c>
    </row>
    <row r="127" spans="1:7" x14ac:dyDescent="0.25">
      <c r="A127" t="s">
        <v>72</v>
      </c>
      <c r="B127" t="s">
        <v>73</v>
      </c>
      <c r="C127">
        <v>1924</v>
      </c>
      <c r="D127">
        <f>INT(C127/100)+1</f>
        <v>20</v>
      </c>
      <c r="E127">
        <v>1970</v>
      </c>
      <c r="F127" t="s">
        <v>74</v>
      </c>
      <c r="G127" t="s">
        <v>75</v>
      </c>
    </row>
    <row r="128" spans="1:7" x14ac:dyDescent="0.25">
      <c r="A128" t="s">
        <v>31</v>
      </c>
      <c r="B128" t="s">
        <v>32</v>
      </c>
      <c r="C128">
        <v>1901</v>
      </c>
      <c r="D128">
        <f>INT(C128/100)+1</f>
        <v>20</v>
      </c>
      <c r="E128">
        <v>1981</v>
      </c>
      <c r="F128" t="s">
        <v>33</v>
      </c>
      <c r="G128" t="s">
        <v>34</v>
      </c>
    </row>
    <row r="129" spans="1:7" x14ac:dyDescent="0.25">
      <c r="A129" t="s">
        <v>31</v>
      </c>
      <c r="B129" t="s">
        <v>32</v>
      </c>
      <c r="C129">
        <v>1911</v>
      </c>
      <c r="D129">
        <f>INT(C129/100)+1</f>
        <v>20</v>
      </c>
      <c r="E129">
        <v>1991</v>
      </c>
      <c r="F129" t="s">
        <v>33</v>
      </c>
      <c r="G129" t="s">
        <v>34</v>
      </c>
    </row>
    <row r="130" spans="1:7" x14ac:dyDescent="0.25">
      <c r="A130" t="s">
        <v>31</v>
      </c>
      <c r="B130" t="s">
        <v>32</v>
      </c>
      <c r="C130">
        <v>1921</v>
      </c>
      <c r="D130">
        <f>INT(C130/100)+1</f>
        <v>20</v>
      </c>
      <c r="E130">
        <v>2001</v>
      </c>
      <c r="F130" t="s">
        <v>33</v>
      </c>
      <c r="G130" t="s">
        <v>34</v>
      </c>
    </row>
    <row r="131" spans="1:7" x14ac:dyDescent="0.25">
      <c r="A131" t="s">
        <v>31</v>
      </c>
      <c r="B131" t="s">
        <v>32</v>
      </c>
      <c r="C131">
        <v>1931</v>
      </c>
      <c r="D131">
        <f>INT(C131/100)+1</f>
        <v>20</v>
      </c>
      <c r="E131">
        <v>2011</v>
      </c>
      <c r="F131" t="s">
        <v>33</v>
      </c>
      <c r="G131" t="s">
        <v>34</v>
      </c>
    </row>
    <row r="132" spans="1:7" x14ac:dyDescent="0.25">
      <c r="A132" t="s">
        <v>28</v>
      </c>
      <c r="B132" t="s">
        <v>29</v>
      </c>
      <c r="C132">
        <v>1928</v>
      </c>
      <c r="D132">
        <f>INT(C132/100)+1</f>
        <v>20</v>
      </c>
      <c r="E132">
        <v>2014</v>
      </c>
      <c r="F132" t="s">
        <v>12</v>
      </c>
      <c r="G132" t="s">
        <v>30</v>
      </c>
    </row>
    <row r="133" spans="1:7" x14ac:dyDescent="0.25">
      <c r="A133" t="s">
        <v>28</v>
      </c>
      <c r="B133" t="s">
        <v>29</v>
      </c>
      <c r="C133">
        <v>1938</v>
      </c>
      <c r="D133">
        <f>INT(C133/100)+1</f>
        <v>20</v>
      </c>
      <c r="E133">
        <v>2024</v>
      </c>
      <c r="F133" t="s">
        <v>12</v>
      </c>
      <c r="G133" t="s">
        <v>30</v>
      </c>
    </row>
    <row r="134" spans="1:7" x14ac:dyDescent="0.25">
      <c r="A134" t="s">
        <v>28</v>
      </c>
      <c r="B134" t="s">
        <v>29</v>
      </c>
      <c r="C134">
        <v>1948</v>
      </c>
      <c r="D134">
        <f>INT(C134/100)+1</f>
        <v>20</v>
      </c>
      <c r="E134">
        <v>2034</v>
      </c>
      <c r="F134" t="s">
        <v>12</v>
      </c>
      <c r="G134" t="s">
        <v>30</v>
      </c>
    </row>
    <row r="135" spans="1:7" x14ac:dyDescent="0.25">
      <c r="A135" t="s">
        <v>28</v>
      </c>
      <c r="B135" t="s">
        <v>29</v>
      </c>
      <c r="C135">
        <v>1958</v>
      </c>
      <c r="D135">
        <f>INT(C135/100)+1</f>
        <v>20</v>
      </c>
      <c r="E135">
        <v>2044</v>
      </c>
      <c r="F135" t="s">
        <v>12</v>
      </c>
      <c r="G135" t="s">
        <v>30</v>
      </c>
    </row>
    <row r="136" spans="1:7" x14ac:dyDescent="0.25">
      <c r="A136" t="s">
        <v>28</v>
      </c>
      <c r="B136" t="s">
        <v>29</v>
      </c>
      <c r="C136">
        <v>1968</v>
      </c>
      <c r="D136">
        <f>INT(C136/100)+1</f>
        <v>20</v>
      </c>
      <c r="E136">
        <v>2054</v>
      </c>
      <c r="F136" t="s">
        <v>12</v>
      </c>
      <c r="G136" t="s">
        <v>30</v>
      </c>
    </row>
    <row r="137" spans="1:7" x14ac:dyDescent="0.25">
      <c r="A137" t="s">
        <v>28</v>
      </c>
      <c r="B137" t="s">
        <v>29</v>
      </c>
      <c r="C137">
        <v>1978</v>
      </c>
      <c r="D137">
        <f>INT(C137/100)+1</f>
        <v>20</v>
      </c>
      <c r="E137">
        <v>2064</v>
      </c>
      <c r="F137" t="s">
        <v>12</v>
      </c>
      <c r="G137" t="s">
        <v>30</v>
      </c>
    </row>
    <row r="138" spans="1:7" x14ac:dyDescent="0.25">
      <c r="A138" t="s">
        <v>28</v>
      </c>
      <c r="B138" t="s">
        <v>29</v>
      </c>
      <c r="C138">
        <v>1988</v>
      </c>
      <c r="D138">
        <f>INT(C138/100)+1</f>
        <v>20</v>
      </c>
      <c r="E138">
        <v>2074</v>
      </c>
      <c r="F138" t="s">
        <v>12</v>
      </c>
      <c r="G138" t="s">
        <v>30</v>
      </c>
    </row>
    <row r="139" spans="1:7" x14ac:dyDescent="0.25">
      <c r="A139" t="s">
        <v>28</v>
      </c>
      <c r="B139" t="s">
        <v>29</v>
      </c>
      <c r="C139">
        <v>1998</v>
      </c>
      <c r="D139">
        <f>INT(C139/100)+1</f>
        <v>20</v>
      </c>
      <c r="E139">
        <v>2084</v>
      </c>
      <c r="F139" t="s">
        <v>12</v>
      </c>
      <c r="G139" t="s">
        <v>30</v>
      </c>
    </row>
    <row r="140" spans="1:7" x14ac:dyDescent="0.25">
      <c r="A140" t="s">
        <v>61</v>
      </c>
      <c r="B140" t="s">
        <v>62</v>
      </c>
      <c r="C140">
        <v>1928</v>
      </c>
      <c r="D140">
        <f>INT(C140/100)+1</f>
        <v>20</v>
      </c>
      <c r="E140">
        <v>1974</v>
      </c>
      <c r="F140" t="s">
        <v>12</v>
      </c>
      <c r="G140" t="s">
        <v>13</v>
      </c>
    </row>
    <row r="141" spans="1:7" x14ac:dyDescent="0.25">
      <c r="A141" t="s">
        <v>10</v>
      </c>
      <c r="B141" t="s">
        <v>11</v>
      </c>
      <c r="C141">
        <v>1932</v>
      </c>
      <c r="D141">
        <f>INT(C141/100)+1</f>
        <v>20</v>
      </c>
      <c r="E141">
        <v>1963</v>
      </c>
      <c r="F141" t="s">
        <v>12</v>
      </c>
      <c r="G141" t="s">
        <v>13</v>
      </c>
    </row>
    <row r="142" spans="1:7" x14ac:dyDescent="0.25">
      <c r="A142" t="s">
        <v>61</v>
      </c>
      <c r="B142" t="s">
        <v>62</v>
      </c>
      <c r="C142">
        <v>1938</v>
      </c>
      <c r="D142">
        <f>INT(C142/100)+1</f>
        <v>20</v>
      </c>
      <c r="E142">
        <v>1984</v>
      </c>
      <c r="F142" t="s">
        <v>12</v>
      </c>
      <c r="G142" t="s">
        <v>13</v>
      </c>
    </row>
    <row r="143" spans="1:7" x14ac:dyDescent="0.25">
      <c r="A143" t="s">
        <v>10</v>
      </c>
      <c r="B143" t="s">
        <v>11</v>
      </c>
      <c r="C143">
        <v>1942</v>
      </c>
      <c r="D143">
        <f>INT(C143/100)+1</f>
        <v>20</v>
      </c>
      <c r="E143">
        <v>1973</v>
      </c>
      <c r="F143" t="s">
        <v>12</v>
      </c>
      <c r="G143" t="s">
        <v>13</v>
      </c>
    </row>
    <row r="144" spans="1:7" x14ac:dyDescent="0.25">
      <c r="A144" t="s">
        <v>61</v>
      </c>
      <c r="B144" t="s">
        <v>62</v>
      </c>
      <c r="C144">
        <v>1948</v>
      </c>
      <c r="D144">
        <f>INT(C144/100)+1</f>
        <v>20</v>
      </c>
      <c r="E144">
        <v>1994</v>
      </c>
      <c r="F144" t="s">
        <v>12</v>
      </c>
      <c r="G144" t="s">
        <v>13</v>
      </c>
    </row>
    <row r="145" spans="1:7" x14ac:dyDescent="0.25">
      <c r="A145" t="s">
        <v>10</v>
      </c>
      <c r="B145" t="s">
        <v>11</v>
      </c>
      <c r="C145">
        <v>1952</v>
      </c>
      <c r="D145">
        <f>INT(C145/100)+1</f>
        <v>20</v>
      </c>
      <c r="E145">
        <v>1983</v>
      </c>
      <c r="F145" t="s">
        <v>12</v>
      </c>
      <c r="G145" t="s">
        <v>13</v>
      </c>
    </row>
    <row r="146" spans="1:7" x14ac:dyDescent="0.25">
      <c r="A146" t="s">
        <v>61</v>
      </c>
      <c r="B146" t="s">
        <v>62</v>
      </c>
      <c r="C146">
        <v>1958</v>
      </c>
      <c r="D146">
        <f>INT(C146/100)+1</f>
        <v>20</v>
      </c>
      <c r="E146">
        <v>2004</v>
      </c>
      <c r="F146" t="s">
        <v>12</v>
      </c>
      <c r="G146" t="s">
        <v>13</v>
      </c>
    </row>
    <row r="147" spans="1:7" x14ac:dyDescent="0.25">
      <c r="A147" t="s">
        <v>10</v>
      </c>
      <c r="B147" t="s">
        <v>11</v>
      </c>
      <c r="C147">
        <v>1962</v>
      </c>
      <c r="D147">
        <f>INT(C147/100)+1</f>
        <v>20</v>
      </c>
      <c r="E147">
        <v>1993</v>
      </c>
      <c r="F147" t="s">
        <v>12</v>
      </c>
      <c r="G147" t="s">
        <v>13</v>
      </c>
    </row>
    <row r="148" spans="1:7" x14ac:dyDescent="0.25">
      <c r="A148" t="s">
        <v>61</v>
      </c>
      <c r="B148" t="s">
        <v>62</v>
      </c>
      <c r="C148">
        <v>1968</v>
      </c>
      <c r="D148">
        <f>INT(C148/100)+1</f>
        <v>20</v>
      </c>
      <c r="E148">
        <v>2014</v>
      </c>
      <c r="F148" t="s">
        <v>12</v>
      </c>
      <c r="G148" t="s">
        <v>13</v>
      </c>
    </row>
    <row r="149" spans="1:7" x14ac:dyDescent="0.25">
      <c r="A149" t="s">
        <v>10</v>
      </c>
      <c r="B149" t="s">
        <v>11</v>
      </c>
      <c r="C149">
        <v>1972</v>
      </c>
      <c r="D149">
        <f>INT(C149/100)+1</f>
        <v>20</v>
      </c>
      <c r="E149">
        <v>2003</v>
      </c>
      <c r="F149" t="s">
        <v>12</v>
      </c>
      <c r="G149" t="s">
        <v>13</v>
      </c>
    </row>
    <row r="150" spans="1:7" x14ac:dyDescent="0.25">
      <c r="A150" t="s">
        <v>61</v>
      </c>
      <c r="B150" t="s">
        <v>62</v>
      </c>
      <c r="C150">
        <v>1978</v>
      </c>
      <c r="D150">
        <f>INT(C150/100)+1</f>
        <v>20</v>
      </c>
      <c r="E150">
        <v>2024</v>
      </c>
      <c r="F150" t="s">
        <v>12</v>
      </c>
      <c r="G150" t="s">
        <v>13</v>
      </c>
    </row>
    <row r="151" spans="1:7" x14ac:dyDescent="0.25">
      <c r="A151" t="s">
        <v>10</v>
      </c>
      <c r="B151" t="s">
        <v>11</v>
      </c>
      <c r="C151">
        <v>1982</v>
      </c>
      <c r="D151">
        <f>INT(C151/100)+1</f>
        <v>20</v>
      </c>
      <c r="E151">
        <v>2013</v>
      </c>
      <c r="F151" t="s">
        <v>12</v>
      </c>
      <c r="G151" t="s">
        <v>13</v>
      </c>
    </row>
    <row r="152" spans="1:7" x14ac:dyDescent="0.25">
      <c r="A152" t="s">
        <v>61</v>
      </c>
      <c r="B152" t="s">
        <v>62</v>
      </c>
      <c r="C152">
        <v>1988</v>
      </c>
      <c r="D152">
        <f>INT(C152/100)+1</f>
        <v>20</v>
      </c>
      <c r="E152">
        <v>2034</v>
      </c>
      <c r="F152" t="s">
        <v>12</v>
      </c>
      <c r="G152" t="s">
        <v>13</v>
      </c>
    </row>
    <row r="153" spans="1:7" x14ac:dyDescent="0.25">
      <c r="A153" t="s">
        <v>10</v>
      </c>
      <c r="B153" t="s">
        <v>11</v>
      </c>
      <c r="C153">
        <v>1992</v>
      </c>
      <c r="D153">
        <f>INT(C153/100)+1</f>
        <v>20</v>
      </c>
      <c r="E153">
        <v>2023</v>
      </c>
      <c r="F153" t="s">
        <v>12</v>
      </c>
      <c r="G153" t="s">
        <v>13</v>
      </c>
    </row>
    <row r="154" spans="1:7" x14ac:dyDescent="0.25">
      <c r="A154" t="s">
        <v>61</v>
      </c>
      <c r="B154" t="s">
        <v>62</v>
      </c>
      <c r="C154">
        <v>1998</v>
      </c>
      <c r="D154">
        <f>INT(C154/100)+1</f>
        <v>20</v>
      </c>
      <c r="E154">
        <v>2044</v>
      </c>
      <c r="F154" t="s">
        <v>12</v>
      </c>
      <c r="G154" t="s">
        <v>13</v>
      </c>
    </row>
    <row r="155" spans="1:7" x14ac:dyDescent="0.25">
      <c r="A155" t="s">
        <v>52</v>
      </c>
      <c r="B155" t="s">
        <v>53</v>
      </c>
      <c r="C155">
        <v>1943</v>
      </c>
      <c r="D155">
        <f>INT(C155/100)+1</f>
        <v>20</v>
      </c>
      <c r="E155">
        <v>2020</v>
      </c>
      <c r="F155" t="s">
        <v>12</v>
      </c>
      <c r="G155" t="s">
        <v>54</v>
      </c>
    </row>
    <row r="156" spans="1:7" x14ac:dyDescent="0.25">
      <c r="A156" t="s">
        <v>52</v>
      </c>
      <c r="B156" t="s">
        <v>53</v>
      </c>
      <c r="C156">
        <v>1953</v>
      </c>
      <c r="D156">
        <f>INT(C156/100)+1</f>
        <v>20</v>
      </c>
      <c r="E156">
        <v>2030</v>
      </c>
      <c r="F156" t="s">
        <v>12</v>
      </c>
      <c r="G156" t="s">
        <v>54</v>
      </c>
    </row>
    <row r="157" spans="1:7" x14ac:dyDescent="0.25">
      <c r="A157" t="s">
        <v>52</v>
      </c>
      <c r="B157" t="s">
        <v>53</v>
      </c>
      <c r="C157">
        <v>1963</v>
      </c>
      <c r="D157">
        <f>INT(C157/100)+1</f>
        <v>20</v>
      </c>
      <c r="E157">
        <v>2040</v>
      </c>
      <c r="F157" t="s">
        <v>12</v>
      </c>
      <c r="G157" t="s">
        <v>54</v>
      </c>
    </row>
    <row r="158" spans="1:7" x14ac:dyDescent="0.25">
      <c r="A158" t="s">
        <v>52</v>
      </c>
      <c r="B158" t="s">
        <v>53</v>
      </c>
      <c r="C158">
        <v>1973</v>
      </c>
      <c r="D158">
        <f>INT(C158/100)+1</f>
        <v>20</v>
      </c>
      <c r="E158">
        <v>2050</v>
      </c>
      <c r="F158" t="s">
        <v>12</v>
      </c>
      <c r="G158" t="s">
        <v>54</v>
      </c>
    </row>
    <row r="159" spans="1:7" x14ac:dyDescent="0.25">
      <c r="A159" t="s">
        <v>52</v>
      </c>
      <c r="B159" t="s">
        <v>53</v>
      </c>
      <c r="C159">
        <v>1983</v>
      </c>
      <c r="D159">
        <f>INT(C159/100)+1</f>
        <v>20</v>
      </c>
      <c r="E159">
        <v>2060</v>
      </c>
      <c r="F159" t="s">
        <v>12</v>
      </c>
      <c r="G159" t="s">
        <v>54</v>
      </c>
    </row>
    <row r="160" spans="1:7" x14ac:dyDescent="0.25">
      <c r="A160" t="s">
        <v>52</v>
      </c>
      <c r="B160" t="s">
        <v>53</v>
      </c>
      <c r="C160">
        <v>1993</v>
      </c>
      <c r="D160">
        <f>INT(C160/100)+1</f>
        <v>20</v>
      </c>
      <c r="E160">
        <v>2070</v>
      </c>
      <c r="F160" t="s">
        <v>12</v>
      </c>
      <c r="G160" t="s">
        <v>54</v>
      </c>
    </row>
    <row r="161" spans="1:7" x14ac:dyDescent="0.25">
      <c r="A161" t="s">
        <v>14</v>
      </c>
      <c r="B161" t="s">
        <v>15</v>
      </c>
      <c r="C161">
        <v>1902</v>
      </c>
      <c r="D161">
        <f>INT(C161/100)+1</f>
        <v>20</v>
      </c>
      <c r="E161">
        <v>1967</v>
      </c>
      <c r="F161" t="s">
        <v>12</v>
      </c>
      <c r="G161" t="s">
        <v>16</v>
      </c>
    </row>
    <row r="162" spans="1:7" x14ac:dyDescent="0.25">
      <c r="A162" t="s">
        <v>14</v>
      </c>
      <c r="B162" t="s">
        <v>15</v>
      </c>
      <c r="C162">
        <v>1912</v>
      </c>
      <c r="D162">
        <f>INT(C162/100)+1</f>
        <v>20</v>
      </c>
      <c r="E162">
        <v>1977</v>
      </c>
      <c r="F162" t="s">
        <v>12</v>
      </c>
      <c r="G162" t="s">
        <v>16</v>
      </c>
    </row>
    <row r="163" spans="1:7" x14ac:dyDescent="0.25">
      <c r="A163" t="s">
        <v>14</v>
      </c>
      <c r="B163" t="s">
        <v>15</v>
      </c>
      <c r="C163">
        <v>1922</v>
      </c>
      <c r="D163">
        <f>INT(C163/100)+1</f>
        <v>20</v>
      </c>
      <c r="E163">
        <v>1987</v>
      </c>
      <c r="F163" t="s">
        <v>12</v>
      </c>
      <c r="G163" t="s">
        <v>16</v>
      </c>
    </row>
    <row r="164" spans="1:7" x14ac:dyDescent="0.25">
      <c r="A164" t="s">
        <v>14</v>
      </c>
      <c r="B164" t="s">
        <v>15</v>
      </c>
      <c r="C164">
        <v>1932</v>
      </c>
      <c r="D164">
        <f>INT(C164/100)+1</f>
        <v>20</v>
      </c>
      <c r="E164">
        <v>1997</v>
      </c>
      <c r="F164" t="s">
        <v>12</v>
      </c>
      <c r="G164" t="s">
        <v>16</v>
      </c>
    </row>
    <row r="165" spans="1:7" x14ac:dyDescent="0.25">
      <c r="A165" t="s">
        <v>14</v>
      </c>
      <c r="B165" t="s">
        <v>15</v>
      </c>
      <c r="C165">
        <v>1942</v>
      </c>
      <c r="D165">
        <f>INT(C165/100)+1</f>
        <v>20</v>
      </c>
      <c r="E165">
        <v>2007</v>
      </c>
      <c r="F165" t="s">
        <v>12</v>
      </c>
      <c r="G165" t="s">
        <v>16</v>
      </c>
    </row>
    <row r="166" spans="1:7" x14ac:dyDescent="0.25">
      <c r="A166" t="s">
        <v>14</v>
      </c>
      <c r="B166" t="s">
        <v>15</v>
      </c>
      <c r="C166">
        <v>1952</v>
      </c>
      <c r="D166">
        <f>INT(C166/100)+1</f>
        <v>20</v>
      </c>
      <c r="E166">
        <v>2017</v>
      </c>
      <c r="F166" t="s">
        <v>12</v>
      </c>
      <c r="G166" t="s">
        <v>16</v>
      </c>
    </row>
    <row r="167" spans="1:7" x14ac:dyDescent="0.25">
      <c r="A167" t="s">
        <v>14</v>
      </c>
      <c r="B167" t="s">
        <v>15</v>
      </c>
      <c r="C167">
        <v>1962</v>
      </c>
      <c r="D167">
        <f>INT(C167/100)+1</f>
        <v>20</v>
      </c>
      <c r="E167">
        <v>2027</v>
      </c>
      <c r="F167" t="s">
        <v>12</v>
      </c>
      <c r="G167" t="s">
        <v>16</v>
      </c>
    </row>
    <row r="168" spans="1:7" x14ac:dyDescent="0.25">
      <c r="A168" t="s">
        <v>14</v>
      </c>
      <c r="B168" t="s">
        <v>15</v>
      </c>
      <c r="C168">
        <v>1972</v>
      </c>
      <c r="D168">
        <f>INT(C168/100)+1</f>
        <v>20</v>
      </c>
      <c r="E168">
        <v>2037</v>
      </c>
      <c r="F168" t="s">
        <v>12</v>
      </c>
      <c r="G168" t="s">
        <v>16</v>
      </c>
    </row>
    <row r="169" spans="1:7" x14ac:dyDescent="0.25">
      <c r="A169" t="s">
        <v>17</v>
      </c>
      <c r="B169" t="s">
        <v>18</v>
      </c>
      <c r="C169">
        <v>1900</v>
      </c>
      <c r="D169">
        <f>INT(C169/100)+1</f>
        <v>20</v>
      </c>
      <c r="E169">
        <v>1956</v>
      </c>
      <c r="F169" t="s">
        <v>12</v>
      </c>
      <c r="G169" t="s">
        <v>19</v>
      </c>
    </row>
    <row r="170" spans="1:7" x14ac:dyDescent="0.25">
      <c r="A170" t="s">
        <v>76</v>
      </c>
      <c r="B170" t="s">
        <v>77</v>
      </c>
      <c r="C170">
        <v>1902</v>
      </c>
      <c r="D170">
        <f>INT(C170/100)+1</f>
        <v>20</v>
      </c>
      <c r="E170">
        <v>1961</v>
      </c>
      <c r="F170" t="s">
        <v>8</v>
      </c>
      <c r="G170" t="s">
        <v>78</v>
      </c>
    </row>
    <row r="171" spans="1:7" x14ac:dyDescent="0.25">
      <c r="A171" t="s">
        <v>76</v>
      </c>
      <c r="B171" t="s">
        <v>77</v>
      </c>
      <c r="C171">
        <v>1912</v>
      </c>
      <c r="D171">
        <f>INT(C171/100)+1</f>
        <v>20</v>
      </c>
      <c r="E171">
        <v>1971</v>
      </c>
      <c r="F171" t="s">
        <v>8</v>
      </c>
      <c r="G171" t="s">
        <v>78</v>
      </c>
    </row>
    <row r="172" spans="1:7" x14ac:dyDescent="0.25">
      <c r="A172" t="s">
        <v>76</v>
      </c>
      <c r="B172" t="s">
        <v>77</v>
      </c>
      <c r="C172">
        <v>1922</v>
      </c>
      <c r="D172">
        <f>INT(C172/100)+1</f>
        <v>20</v>
      </c>
      <c r="E172">
        <v>1981</v>
      </c>
      <c r="F172" t="s">
        <v>8</v>
      </c>
      <c r="G172" t="s">
        <v>78</v>
      </c>
    </row>
    <row r="173" spans="1:7" x14ac:dyDescent="0.25">
      <c r="A173" t="s">
        <v>76</v>
      </c>
      <c r="B173" t="s">
        <v>77</v>
      </c>
      <c r="C173">
        <v>1932</v>
      </c>
      <c r="D173">
        <f>INT(C173/100)+1</f>
        <v>20</v>
      </c>
      <c r="E173">
        <v>1991</v>
      </c>
      <c r="F173" t="s">
        <v>8</v>
      </c>
      <c r="G173" t="s">
        <v>78</v>
      </c>
    </row>
    <row r="174" spans="1:7" x14ac:dyDescent="0.25">
      <c r="A174" t="s">
        <v>76</v>
      </c>
      <c r="B174" t="s">
        <v>77</v>
      </c>
      <c r="C174">
        <v>1942</v>
      </c>
      <c r="D174">
        <f>INT(C174/100)+1</f>
        <v>20</v>
      </c>
      <c r="E174">
        <v>2001</v>
      </c>
      <c r="F174" t="s">
        <v>8</v>
      </c>
      <c r="G174" t="s">
        <v>78</v>
      </c>
    </row>
    <row r="175" spans="1:7" x14ac:dyDescent="0.25">
      <c r="A175" t="s">
        <v>76</v>
      </c>
      <c r="B175" t="s">
        <v>77</v>
      </c>
      <c r="C175">
        <v>1952</v>
      </c>
      <c r="D175">
        <f>INT(C175/100)+1</f>
        <v>20</v>
      </c>
      <c r="E175">
        <v>2011</v>
      </c>
      <c r="F175" t="s">
        <v>8</v>
      </c>
      <c r="G175" t="s">
        <v>78</v>
      </c>
    </row>
    <row r="176" spans="1:7" x14ac:dyDescent="0.25">
      <c r="A176" t="s">
        <v>55</v>
      </c>
      <c r="B176" t="s">
        <v>56</v>
      </c>
      <c r="C176">
        <v>1904</v>
      </c>
      <c r="D176">
        <f>INT(C176/100)+1</f>
        <v>20</v>
      </c>
      <c r="E176">
        <v>1993</v>
      </c>
      <c r="F176" t="s">
        <v>12</v>
      </c>
      <c r="G176" t="s">
        <v>57</v>
      </c>
    </row>
    <row r="177" spans="1:7" x14ac:dyDescent="0.25">
      <c r="A177" t="s">
        <v>55</v>
      </c>
      <c r="B177" t="s">
        <v>56</v>
      </c>
      <c r="C177">
        <v>1914</v>
      </c>
      <c r="D177">
        <f>INT(C177/100)+1</f>
        <v>20</v>
      </c>
      <c r="E177">
        <v>2003</v>
      </c>
      <c r="F177" t="s">
        <v>12</v>
      </c>
      <c r="G177" t="s">
        <v>57</v>
      </c>
    </row>
    <row r="178" spans="1:7" x14ac:dyDescent="0.25">
      <c r="A178" t="s">
        <v>55</v>
      </c>
      <c r="B178" t="s">
        <v>56</v>
      </c>
      <c r="C178">
        <v>1924</v>
      </c>
      <c r="D178">
        <f>INT(C178/100)+1</f>
        <v>20</v>
      </c>
      <c r="E178">
        <v>2013</v>
      </c>
      <c r="F178" t="s">
        <v>12</v>
      </c>
      <c r="G178" t="s">
        <v>57</v>
      </c>
    </row>
    <row r="179" spans="1:7" x14ac:dyDescent="0.25">
      <c r="A179" t="s">
        <v>55</v>
      </c>
      <c r="B179" t="s">
        <v>56</v>
      </c>
      <c r="C179">
        <v>1934</v>
      </c>
      <c r="D179">
        <f>INT(C179/100)+1</f>
        <v>20</v>
      </c>
      <c r="E179">
        <v>2023</v>
      </c>
      <c r="F179" t="s">
        <v>12</v>
      </c>
      <c r="G179" t="s">
        <v>57</v>
      </c>
    </row>
    <row r="180" spans="1:7" x14ac:dyDescent="0.25">
      <c r="A180" t="s">
        <v>55</v>
      </c>
      <c r="B180" t="s">
        <v>56</v>
      </c>
      <c r="C180">
        <v>1944</v>
      </c>
      <c r="D180">
        <f>INT(C180/100)+1</f>
        <v>20</v>
      </c>
      <c r="E180">
        <v>2033</v>
      </c>
      <c r="F180" t="s">
        <v>12</v>
      </c>
      <c r="G180" t="s">
        <v>57</v>
      </c>
    </row>
    <row r="181" spans="1:7" x14ac:dyDescent="0.25">
      <c r="A181" t="s">
        <v>24</v>
      </c>
      <c r="B181" t="s">
        <v>25</v>
      </c>
      <c r="C181">
        <v>1904</v>
      </c>
      <c r="D181">
        <f>INT(C181/100)+1</f>
        <v>20</v>
      </c>
      <c r="E181">
        <v>1973</v>
      </c>
      <c r="F181" t="s">
        <v>26</v>
      </c>
      <c r="G181" t="s">
        <v>27</v>
      </c>
    </row>
    <row r="182" spans="1:7" x14ac:dyDescent="0.25">
      <c r="A182" t="s">
        <v>85</v>
      </c>
      <c r="B182" t="s">
        <v>86</v>
      </c>
      <c r="C182">
        <v>1908</v>
      </c>
      <c r="D182">
        <f>INT(C182/100)+1</f>
        <v>20</v>
      </c>
      <c r="E182">
        <v>1946</v>
      </c>
      <c r="F182" t="s">
        <v>87</v>
      </c>
      <c r="G182" t="s">
        <v>27</v>
      </c>
    </row>
    <row r="183" spans="1:7" x14ac:dyDescent="0.25">
      <c r="A183" t="s">
        <v>24</v>
      </c>
      <c r="B183" t="s">
        <v>25</v>
      </c>
      <c r="C183">
        <v>1914</v>
      </c>
      <c r="D183">
        <f>INT(C183/100)+1</f>
        <v>20</v>
      </c>
      <c r="E183">
        <v>1983</v>
      </c>
      <c r="F183" t="s">
        <v>26</v>
      </c>
      <c r="G183" t="s">
        <v>27</v>
      </c>
    </row>
    <row r="184" spans="1:7" x14ac:dyDescent="0.25">
      <c r="A184" t="s">
        <v>85</v>
      </c>
      <c r="B184" t="s">
        <v>86</v>
      </c>
      <c r="C184">
        <v>1918</v>
      </c>
      <c r="D184">
        <f>INT(C184/100)+1</f>
        <v>20</v>
      </c>
      <c r="E184">
        <v>1956</v>
      </c>
      <c r="F184" t="s">
        <v>87</v>
      </c>
      <c r="G184" t="s">
        <v>27</v>
      </c>
    </row>
    <row r="185" spans="1:7" x14ac:dyDescent="0.25">
      <c r="A185" t="s">
        <v>24</v>
      </c>
      <c r="B185" t="s">
        <v>25</v>
      </c>
      <c r="C185">
        <v>1924</v>
      </c>
      <c r="D185">
        <f>INT(C185/100)+1</f>
        <v>20</v>
      </c>
      <c r="E185">
        <v>1993</v>
      </c>
      <c r="F185" t="s">
        <v>26</v>
      </c>
      <c r="G185" t="s">
        <v>27</v>
      </c>
    </row>
    <row r="186" spans="1:7" x14ac:dyDescent="0.25">
      <c r="A186" t="s">
        <v>85</v>
      </c>
      <c r="B186" t="s">
        <v>86</v>
      </c>
      <c r="C186">
        <v>1928</v>
      </c>
      <c r="D186">
        <f>INT(C186/100)+1</f>
        <v>20</v>
      </c>
      <c r="E186">
        <v>1966</v>
      </c>
      <c r="F186" t="s">
        <v>87</v>
      </c>
      <c r="G186" t="s">
        <v>27</v>
      </c>
    </row>
    <row r="187" spans="1:7" x14ac:dyDescent="0.25">
      <c r="A187" t="s">
        <v>24</v>
      </c>
      <c r="B187" t="s">
        <v>25</v>
      </c>
      <c r="C187">
        <v>1934</v>
      </c>
      <c r="D187">
        <f>INT(C187/100)+1</f>
        <v>20</v>
      </c>
      <c r="E187">
        <v>2003</v>
      </c>
      <c r="F187" t="s">
        <v>26</v>
      </c>
      <c r="G187" t="s">
        <v>27</v>
      </c>
    </row>
    <row r="188" spans="1:7" x14ac:dyDescent="0.25">
      <c r="A188" t="s">
        <v>85</v>
      </c>
      <c r="B188" t="s">
        <v>86</v>
      </c>
      <c r="C188">
        <v>1938</v>
      </c>
      <c r="D188">
        <f>INT(C188/100)+1</f>
        <v>20</v>
      </c>
      <c r="E188">
        <v>1976</v>
      </c>
      <c r="F188" t="s">
        <v>87</v>
      </c>
      <c r="G188" t="s">
        <v>27</v>
      </c>
    </row>
    <row r="189" spans="1:7" x14ac:dyDescent="0.25">
      <c r="A189" t="s">
        <v>24</v>
      </c>
      <c r="B189" t="s">
        <v>25</v>
      </c>
      <c r="C189">
        <v>1944</v>
      </c>
      <c r="D189">
        <f>INT(C189/100)+1</f>
        <v>20</v>
      </c>
      <c r="E189">
        <v>2013</v>
      </c>
      <c r="F189" t="s">
        <v>26</v>
      </c>
      <c r="G189" t="s">
        <v>27</v>
      </c>
    </row>
    <row r="190" spans="1:7" x14ac:dyDescent="0.25">
      <c r="A190" t="s">
        <v>85</v>
      </c>
      <c r="B190" t="s">
        <v>86</v>
      </c>
      <c r="C190">
        <v>1948</v>
      </c>
      <c r="D190">
        <f>INT(C190/100)+1</f>
        <v>20</v>
      </c>
      <c r="E190">
        <v>1986</v>
      </c>
      <c r="F190" t="s">
        <v>87</v>
      </c>
      <c r="G190" t="s">
        <v>27</v>
      </c>
    </row>
    <row r="191" spans="1:7" x14ac:dyDescent="0.25">
      <c r="A191" t="s">
        <v>24</v>
      </c>
      <c r="B191" t="s">
        <v>25</v>
      </c>
      <c r="C191">
        <v>1954</v>
      </c>
      <c r="D191">
        <f>INT(C191/100)+1</f>
        <v>20</v>
      </c>
      <c r="E191">
        <v>2023</v>
      </c>
      <c r="F191" t="s">
        <v>26</v>
      </c>
      <c r="G191" t="s">
        <v>27</v>
      </c>
    </row>
    <row r="192" spans="1:7" x14ac:dyDescent="0.25">
      <c r="A192" t="s">
        <v>85</v>
      </c>
      <c r="B192" t="s">
        <v>86</v>
      </c>
      <c r="C192">
        <v>1958</v>
      </c>
      <c r="D192">
        <f>INT(C192/100)+1</f>
        <v>20</v>
      </c>
      <c r="E192">
        <v>1996</v>
      </c>
      <c r="F192" t="s">
        <v>87</v>
      </c>
      <c r="G192" t="s">
        <v>27</v>
      </c>
    </row>
    <row r="193" spans="1:7" x14ac:dyDescent="0.25">
      <c r="A193" t="s">
        <v>24</v>
      </c>
      <c r="B193" t="s">
        <v>25</v>
      </c>
      <c r="C193">
        <v>1964</v>
      </c>
      <c r="D193">
        <f>INT(C193/100)+1</f>
        <v>20</v>
      </c>
      <c r="E193">
        <v>2033</v>
      </c>
      <c r="F193" t="s">
        <v>26</v>
      </c>
      <c r="G193" t="s">
        <v>27</v>
      </c>
    </row>
    <row r="194" spans="1:7" x14ac:dyDescent="0.25">
      <c r="A194" t="s">
        <v>85</v>
      </c>
      <c r="B194" t="s">
        <v>86</v>
      </c>
      <c r="C194">
        <v>1968</v>
      </c>
      <c r="D194">
        <f>INT(C194/100)+1</f>
        <v>20</v>
      </c>
      <c r="E194">
        <v>2006</v>
      </c>
      <c r="F194" t="s">
        <v>87</v>
      </c>
      <c r="G194" t="s">
        <v>27</v>
      </c>
    </row>
    <row r="195" spans="1:7" x14ac:dyDescent="0.25">
      <c r="A195" t="s">
        <v>24</v>
      </c>
      <c r="B195" t="s">
        <v>25</v>
      </c>
      <c r="C195">
        <v>1974</v>
      </c>
      <c r="D195">
        <f>INT(C195/100)+1</f>
        <v>20</v>
      </c>
      <c r="E195">
        <v>2043</v>
      </c>
      <c r="F195" t="s">
        <v>26</v>
      </c>
      <c r="G195" t="s">
        <v>27</v>
      </c>
    </row>
    <row r="196" spans="1:7" x14ac:dyDescent="0.25">
      <c r="A196" t="s">
        <v>79</v>
      </c>
      <c r="B196" t="s">
        <v>80</v>
      </c>
      <c r="C196">
        <v>1904</v>
      </c>
      <c r="D196">
        <f>INT(C196/100)+1</f>
        <v>20</v>
      </c>
      <c r="E196">
        <v>1941</v>
      </c>
      <c r="F196" t="s">
        <v>50</v>
      </c>
      <c r="G196" t="s">
        <v>51</v>
      </c>
    </row>
    <row r="197" spans="1:7" x14ac:dyDescent="0.25">
      <c r="A197" t="s">
        <v>79</v>
      </c>
      <c r="B197" t="s">
        <v>80</v>
      </c>
      <c r="C197">
        <v>1914</v>
      </c>
      <c r="D197">
        <f>INT(C197/100)+1</f>
        <v>20</v>
      </c>
      <c r="E197">
        <v>1951</v>
      </c>
      <c r="F197" t="s">
        <v>50</v>
      </c>
      <c r="G197" t="s">
        <v>51</v>
      </c>
    </row>
    <row r="198" spans="1:7" x14ac:dyDescent="0.25">
      <c r="A198" t="s">
        <v>79</v>
      </c>
      <c r="B198" t="s">
        <v>80</v>
      </c>
      <c r="C198">
        <v>1924</v>
      </c>
      <c r="D198">
        <f>INT(C198/100)+1</f>
        <v>20</v>
      </c>
      <c r="E198">
        <v>1961</v>
      </c>
      <c r="F198" t="s">
        <v>50</v>
      </c>
      <c r="G198" t="s">
        <v>51</v>
      </c>
    </row>
    <row r="199" spans="1:7" x14ac:dyDescent="0.25">
      <c r="A199" t="s">
        <v>10</v>
      </c>
      <c r="B199" t="s">
        <v>11</v>
      </c>
      <c r="C199">
        <v>2002</v>
      </c>
      <c r="D199">
        <f>INT(C199/100)+1</f>
        <v>21</v>
      </c>
      <c r="E199">
        <v>2033</v>
      </c>
      <c r="F199" t="s">
        <v>12</v>
      </c>
      <c r="G199" t="s">
        <v>13</v>
      </c>
    </row>
    <row r="200" spans="1:7" x14ac:dyDescent="0.25">
      <c r="A200" t="s">
        <v>52</v>
      </c>
      <c r="B200" t="s">
        <v>53</v>
      </c>
      <c r="C200">
        <v>2003</v>
      </c>
      <c r="D200">
        <f>INT(C200/100)+1</f>
        <v>21</v>
      </c>
      <c r="E200">
        <v>2080</v>
      </c>
      <c r="F200" t="s">
        <v>12</v>
      </c>
      <c r="G200" t="s">
        <v>54</v>
      </c>
    </row>
    <row r="201" spans="1:7" x14ac:dyDescent="0.25">
      <c r="A201" t="s">
        <v>52</v>
      </c>
      <c r="B201" t="s">
        <v>53</v>
      </c>
      <c r="C201">
        <v>2013</v>
      </c>
      <c r="D201">
        <f>INT(C201/100)+1</f>
        <v>21</v>
      </c>
      <c r="E201">
        <v>2090</v>
      </c>
      <c r="F201" t="s">
        <v>12</v>
      </c>
      <c r="G201" t="s">
        <v>54</v>
      </c>
    </row>
    <row r="202" spans="1:7" x14ac:dyDescent="0.25">
      <c r="A202" t="s">
        <v>52</v>
      </c>
      <c r="B202" t="s">
        <v>53</v>
      </c>
      <c r="C202">
        <v>2003</v>
      </c>
      <c r="D202">
        <v>23</v>
      </c>
      <c r="E202">
        <v>2080</v>
      </c>
      <c r="F202" t="s">
        <v>12</v>
      </c>
      <c r="G202" t="s">
        <v>54</v>
      </c>
    </row>
    <row r="203" spans="1:7" x14ac:dyDescent="0.25">
      <c r="A203" t="s">
        <v>52</v>
      </c>
      <c r="B203" t="s">
        <v>53</v>
      </c>
      <c r="C203">
        <v>2013</v>
      </c>
      <c r="D203">
        <v>23</v>
      </c>
      <c r="E203">
        <v>2090</v>
      </c>
      <c r="F203" t="s">
        <v>12</v>
      </c>
      <c r="G203" t="s">
        <v>54</v>
      </c>
    </row>
    <row r="204" spans="1:7" x14ac:dyDescent="0.25">
      <c r="A204" t="s">
        <v>6</v>
      </c>
      <c r="B204" t="s">
        <v>7</v>
      </c>
      <c r="C204">
        <v>1790</v>
      </c>
      <c r="D204">
        <v>23</v>
      </c>
      <c r="E204">
        <v>1870</v>
      </c>
      <c r="F204" t="s">
        <v>8</v>
      </c>
      <c r="G204" t="s">
        <v>9</v>
      </c>
    </row>
    <row r="205" spans="1:7" x14ac:dyDescent="0.25">
      <c r="A205" t="s">
        <v>81</v>
      </c>
      <c r="B205" t="s">
        <v>82</v>
      </c>
      <c r="C205">
        <v>1749</v>
      </c>
      <c r="D205">
        <v>23</v>
      </c>
      <c r="E205">
        <v>1832</v>
      </c>
      <c r="F205" t="s">
        <v>83</v>
      </c>
      <c r="G205" t="s">
        <v>27</v>
      </c>
    </row>
    <row r="206" spans="1:7" x14ac:dyDescent="0.25">
      <c r="A206" t="s">
        <v>81</v>
      </c>
      <c r="B206" t="s">
        <v>82</v>
      </c>
      <c r="C206">
        <v>1759</v>
      </c>
      <c r="D206">
        <v>23</v>
      </c>
      <c r="E206">
        <v>1842</v>
      </c>
      <c r="F206" t="s">
        <v>83</v>
      </c>
      <c r="G206" t="s">
        <v>27</v>
      </c>
    </row>
    <row r="207" spans="1:7" x14ac:dyDescent="0.25">
      <c r="A207" t="s">
        <v>81</v>
      </c>
      <c r="B207" t="s">
        <v>82</v>
      </c>
      <c r="C207">
        <v>1769</v>
      </c>
      <c r="D207">
        <v>23</v>
      </c>
      <c r="E207">
        <v>1852</v>
      </c>
      <c r="F207" t="s">
        <v>83</v>
      </c>
      <c r="G207" t="s">
        <v>84</v>
      </c>
    </row>
    <row r="208" spans="1:7" x14ac:dyDescent="0.25">
      <c r="A208" t="s">
        <v>81</v>
      </c>
      <c r="B208" t="s">
        <v>82</v>
      </c>
      <c r="C208">
        <v>1779</v>
      </c>
      <c r="D208">
        <v>23</v>
      </c>
      <c r="E208">
        <v>1862</v>
      </c>
      <c r="F208" t="s">
        <v>83</v>
      </c>
      <c r="G208" t="s">
        <v>84</v>
      </c>
    </row>
    <row r="209" spans="1:7" x14ac:dyDescent="0.25">
      <c r="A209" t="s">
        <v>81</v>
      </c>
      <c r="B209" t="s">
        <v>82</v>
      </c>
      <c r="C209">
        <v>1789</v>
      </c>
      <c r="D209">
        <v>23</v>
      </c>
      <c r="E209">
        <v>1872</v>
      </c>
      <c r="F209" t="s">
        <v>83</v>
      </c>
      <c r="G209" t="s">
        <v>84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BC918-5E4C-4361-B45A-C48290B1428E}">
  <sheetPr codeName="List2"/>
  <dimension ref="A1:I400"/>
  <sheetViews>
    <sheetView tabSelected="1" workbookViewId="0">
      <selection activeCell="M17" sqref="M17"/>
    </sheetView>
  </sheetViews>
  <sheetFormatPr defaultRowHeight="15" x14ac:dyDescent="0.25"/>
  <sheetData>
    <row r="1" spans="1:9" x14ac:dyDescent="0.25">
      <c r="A1" t="s">
        <v>0</v>
      </c>
      <c r="B1" t="s">
        <v>1</v>
      </c>
      <c r="C1" t="s">
        <v>2</v>
      </c>
      <c r="D1" t="s">
        <v>88</v>
      </c>
      <c r="E1" t="s">
        <v>3</v>
      </c>
      <c r="F1" t="s">
        <v>4</v>
      </c>
      <c r="G1" t="s">
        <v>5</v>
      </c>
    </row>
    <row r="2" spans="1:9" x14ac:dyDescent="0.25">
      <c r="A2" t="s">
        <v>63</v>
      </c>
      <c r="B2" t="s">
        <v>64</v>
      </c>
      <c r="C2">
        <v>1265</v>
      </c>
      <c r="D2">
        <f>INT(C2/100)+1</f>
        <v>13</v>
      </c>
      <c r="E2">
        <v>1321</v>
      </c>
      <c r="F2" t="s">
        <v>65</v>
      </c>
      <c r="G2" t="s">
        <v>66</v>
      </c>
      <c r="H2">
        <f>C2+20</f>
        <v>1285</v>
      </c>
      <c r="I2">
        <f>INT(H2/100)+1</f>
        <v>13</v>
      </c>
    </row>
    <row r="3" spans="1:9" x14ac:dyDescent="0.25">
      <c r="A3" t="s">
        <v>63</v>
      </c>
      <c r="B3" t="s">
        <v>64</v>
      </c>
      <c r="C3">
        <v>1275</v>
      </c>
      <c r="D3">
        <f>INT(C3/100)+1</f>
        <v>13</v>
      </c>
      <c r="E3">
        <v>1331</v>
      </c>
      <c r="F3" t="s">
        <v>65</v>
      </c>
      <c r="G3" t="s">
        <v>66</v>
      </c>
      <c r="H3">
        <f t="shared" ref="H3:H66" si="0">C3+20</f>
        <v>1295</v>
      </c>
      <c r="I3">
        <f t="shared" ref="I3:I66" si="1">INT(H3/100)+1</f>
        <v>13</v>
      </c>
    </row>
    <row r="4" spans="1:9" x14ac:dyDescent="0.25">
      <c r="A4" t="s">
        <v>63</v>
      </c>
      <c r="B4" t="s">
        <v>64</v>
      </c>
      <c r="C4">
        <v>1285</v>
      </c>
      <c r="D4">
        <f>INT(C4/100)+1</f>
        <v>13</v>
      </c>
      <c r="E4">
        <v>1341</v>
      </c>
      <c r="F4" t="s">
        <v>65</v>
      </c>
      <c r="G4" t="s">
        <v>66</v>
      </c>
      <c r="H4">
        <f t="shared" si="0"/>
        <v>1305</v>
      </c>
      <c r="I4">
        <f t="shared" si="1"/>
        <v>14</v>
      </c>
    </row>
    <row r="5" spans="1:9" x14ac:dyDescent="0.25">
      <c r="A5" t="s">
        <v>63</v>
      </c>
      <c r="B5" t="s">
        <v>64</v>
      </c>
      <c r="C5">
        <v>1295</v>
      </c>
      <c r="D5">
        <f>INT(C5/100)+1</f>
        <v>13</v>
      </c>
      <c r="E5">
        <v>1351</v>
      </c>
      <c r="F5" t="s">
        <v>65</v>
      </c>
      <c r="G5" t="s">
        <v>66</v>
      </c>
      <c r="H5">
        <f t="shared" si="0"/>
        <v>1315</v>
      </c>
      <c r="I5">
        <f t="shared" si="1"/>
        <v>14</v>
      </c>
    </row>
    <row r="6" spans="1:9" x14ac:dyDescent="0.25">
      <c r="A6" t="s">
        <v>20</v>
      </c>
      <c r="B6" t="s">
        <v>21</v>
      </c>
      <c r="C6">
        <v>1207</v>
      </c>
      <c r="D6">
        <f>INT(C6/100)+1</f>
        <v>13</v>
      </c>
      <c r="E6">
        <v>1273</v>
      </c>
      <c r="F6" t="s">
        <v>22</v>
      </c>
      <c r="G6" t="s">
        <v>23</v>
      </c>
      <c r="H6">
        <f t="shared" si="0"/>
        <v>1227</v>
      </c>
      <c r="I6">
        <f t="shared" si="1"/>
        <v>13</v>
      </c>
    </row>
    <row r="7" spans="1:9" x14ac:dyDescent="0.25">
      <c r="A7" t="s">
        <v>20</v>
      </c>
      <c r="B7" t="s">
        <v>21</v>
      </c>
      <c r="C7">
        <v>1217</v>
      </c>
      <c r="D7">
        <f>INT(C7/100)+1</f>
        <v>13</v>
      </c>
      <c r="E7">
        <v>1283</v>
      </c>
      <c r="F7" t="s">
        <v>22</v>
      </c>
      <c r="G7" t="s">
        <v>23</v>
      </c>
      <c r="H7">
        <f t="shared" si="0"/>
        <v>1237</v>
      </c>
      <c r="I7">
        <f t="shared" si="1"/>
        <v>13</v>
      </c>
    </row>
    <row r="8" spans="1:9" x14ac:dyDescent="0.25">
      <c r="A8" t="s">
        <v>20</v>
      </c>
      <c r="B8" t="s">
        <v>21</v>
      </c>
      <c r="C8">
        <v>1227</v>
      </c>
      <c r="D8">
        <f>INT(C8/100)+1</f>
        <v>13</v>
      </c>
      <c r="E8">
        <v>1293</v>
      </c>
      <c r="F8" t="s">
        <v>22</v>
      </c>
      <c r="G8" t="s">
        <v>23</v>
      </c>
      <c r="H8">
        <f t="shared" si="0"/>
        <v>1247</v>
      </c>
      <c r="I8">
        <f t="shared" si="1"/>
        <v>13</v>
      </c>
    </row>
    <row r="9" spans="1:9" x14ac:dyDescent="0.25">
      <c r="A9" t="s">
        <v>20</v>
      </c>
      <c r="B9" t="s">
        <v>21</v>
      </c>
      <c r="C9">
        <v>1237</v>
      </c>
      <c r="D9">
        <f>INT(C9/100)+1</f>
        <v>13</v>
      </c>
      <c r="E9">
        <v>1303</v>
      </c>
      <c r="F9" t="s">
        <v>22</v>
      </c>
      <c r="G9" t="s">
        <v>23</v>
      </c>
      <c r="H9">
        <f t="shared" si="0"/>
        <v>1257</v>
      </c>
      <c r="I9">
        <f t="shared" si="1"/>
        <v>13</v>
      </c>
    </row>
    <row r="10" spans="1:9" x14ac:dyDescent="0.25">
      <c r="A10" t="s">
        <v>20</v>
      </c>
      <c r="B10" t="s">
        <v>21</v>
      </c>
      <c r="C10">
        <v>1247</v>
      </c>
      <c r="D10">
        <f>INT(C10/100)+1</f>
        <v>13</v>
      </c>
      <c r="E10">
        <v>1313</v>
      </c>
      <c r="F10" t="s">
        <v>22</v>
      </c>
      <c r="G10" t="s">
        <v>23</v>
      </c>
      <c r="H10">
        <f t="shared" si="0"/>
        <v>1267</v>
      </c>
      <c r="I10">
        <f t="shared" si="1"/>
        <v>13</v>
      </c>
    </row>
    <row r="11" spans="1:9" x14ac:dyDescent="0.25">
      <c r="A11" t="s">
        <v>20</v>
      </c>
      <c r="B11" t="s">
        <v>21</v>
      </c>
      <c r="C11">
        <v>1257</v>
      </c>
      <c r="D11">
        <f>INT(C11/100)+1</f>
        <v>13</v>
      </c>
      <c r="E11">
        <v>1323</v>
      </c>
      <c r="F11" t="s">
        <v>22</v>
      </c>
      <c r="G11" t="s">
        <v>23</v>
      </c>
      <c r="H11">
        <f t="shared" si="0"/>
        <v>1277</v>
      </c>
      <c r="I11">
        <f t="shared" si="1"/>
        <v>13</v>
      </c>
    </row>
    <row r="12" spans="1:9" x14ac:dyDescent="0.25">
      <c r="A12" t="s">
        <v>20</v>
      </c>
      <c r="B12" t="s">
        <v>21</v>
      </c>
      <c r="C12">
        <v>1267</v>
      </c>
      <c r="D12">
        <f>INT(C12/100)+1</f>
        <v>13</v>
      </c>
      <c r="E12">
        <v>1333</v>
      </c>
      <c r="F12" t="s">
        <v>22</v>
      </c>
      <c r="G12" t="s">
        <v>23</v>
      </c>
      <c r="H12">
        <f t="shared" si="0"/>
        <v>1287</v>
      </c>
      <c r="I12">
        <f t="shared" si="1"/>
        <v>13</v>
      </c>
    </row>
    <row r="13" spans="1:9" x14ac:dyDescent="0.25">
      <c r="A13" t="s">
        <v>20</v>
      </c>
      <c r="B13" t="s">
        <v>21</v>
      </c>
      <c r="C13">
        <v>1277</v>
      </c>
      <c r="D13">
        <f>INT(C13/100)+1</f>
        <v>13</v>
      </c>
      <c r="E13">
        <v>1343</v>
      </c>
      <c r="F13" t="s">
        <v>22</v>
      </c>
      <c r="G13" t="s">
        <v>23</v>
      </c>
      <c r="H13">
        <f t="shared" si="0"/>
        <v>1297</v>
      </c>
      <c r="I13">
        <f t="shared" si="1"/>
        <v>13</v>
      </c>
    </row>
    <row r="14" spans="1:9" x14ac:dyDescent="0.25">
      <c r="A14" t="s">
        <v>63</v>
      </c>
      <c r="B14" t="s">
        <v>64</v>
      </c>
      <c r="C14">
        <v>1305</v>
      </c>
      <c r="D14">
        <f>INT(C14/100)+1</f>
        <v>14</v>
      </c>
      <c r="E14">
        <v>1361</v>
      </c>
      <c r="F14" t="s">
        <v>65</v>
      </c>
      <c r="G14" t="s">
        <v>66</v>
      </c>
      <c r="H14">
        <f t="shared" si="0"/>
        <v>1325</v>
      </c>
      <c r="I14">
        <f t="shared" si="1"/>
        <v>14</v>
      </c>
    </row>
    <row r="15" spans="1:9" x14ac:dyDescent="0.25">
      <c r="A15" t="s">
        <v>63</v>
      </c>
      <c r="B15" t="s">
        <v>64</v>
      </c>
      <c r="C15">
        <v>1315</v>
      </c>
      <c r="D15">
        <f>INT(C15/100)+1</f>
        <v>14</v>
      </c>
      <c r="E15">
        <v>1371</v>
      </c>
      <c r="F15" t="s">
        <v>65</v>
      </c>
      <c r="G15" t="s">
        <v>66</v>
      </c>
      <c r="H15">
        <f t="shared" si="0"/>
        <v>1335</v>
      </c>
      <c r="I15">
        <f t="shared" si="1"/>
        <v>14</v>
      </c>
    </row>
    <row r="16" spans="1:9" x14ac:dyDescent="0.25">
      <c r="H16">
        <f t="shared" si="0"/>
        <v>20</v>
      </c>
      <c r="I16">
        <f t="shared" si="1"/>
        <v>1</v>
      </c>
    </row>
    <row r="17" spans="8:9" x14ac:dyDescent="0.25">
      <c r="H17">
        <f t="shared" si="0"/>
        <v>20</v>
      </c>
      <c r="I17">
        <f t="shared" si="1"/>
        <v>1</v>
      </c>
    </row>
    <row r="18" spans="8:9" x14ac:dyDescent="0.25">
      <c r="H18">
        <f t="shared" si="0"/>
        <v>20</v>
      </c>
      <c r="I18">
        <f t="shared" si="1"/>
        <v>1</v>
      </c>
    </row>
    <row r="19" spans="8:9" x14ac:dyDescent="0.25">
      <c r="H19">
        <f t="shared" si="0"/>
        <v>20</v>
      </c>
      <c r="I19">
        <f t="shared" si="1"/>
        <v>1</v>
      </c>
    </row>
    <row r="20" spans="8:9" x14ac:dyDescent="0.25">
      <c r="H20">
        <f t="shared" si="0"/>
        <v>20</v>
      </c>
      <c r="I20">
        <f t="shared" si="1"/>
        <v>1</v>
      </c>
    </row>
    <row r="21" spans="8:9" x14ac:dyDescent="0.25">
      <c r="H21">
        <f t="shared" si="0"/>
        <v>20</v>
      </c>
      <c r="I21">
        <f t="shared" si="1"/>
        <v>1</v>
      </c>
    </row>
    <row r="22" spans="8:9" x14ac:dyDescent="0.25">
      <c r="H22">
        <f t="shared" si="0"/>
        <v>20</v>
      </c>
      <c r="I22">
        <f t="shared" si="1"/>
        <v>1</v>
      </c>
    </row>
    <row r="23" spans="8:9" x14ac:dyDescent="0.25">
      <c r="H23">
        <f t="shared" si="0"/>
        <v>20</v>
      </c>
      <c r="I23">
        <f t="shared" si="1"/>
        <v>1</v>
      </c>
    </row>
    <row r="24" spans="8:9" x14ac:dyDescent="0.25">
      <c r="H24">
        <f t="shared" si="0"/>
        <v>20</v>
      </c>
      <c r="I24">
        <f t="shared" si="1"/>
        <v>1</v>
      </c>
    </row>
    <row r="25" spans="8:9" x14ac:dyDescent="0.25">
      <c r="H25">
        <f t="shared" si="0"/>
        <v>20</v>
      </c>
      <c r="I25">
        <f t="shared" si="1"/>
        <v>1</v>
      </c>
    </row>
    <row r="26" spans="8:9" x14ac:dyDescent="0.25">
      <c r="H26">
        <f t="shared" si="0"/>
        <v>20</v>
      </c>
      <c r="I26">
        <f t="shared" si="1"/>
        <v>1</v>
      </c>
    </row>
    <row r="27" spans="8:9" x14ac:dyDescent="0.25">
      <c r="H27">
        <f t="shared" si="0"/>
        <v>20</v>
      </c>
      <c r="I27">
        <f t="shared" si="1"/>
        <v>1</v>
      </c>
    </row>
    <row r="28" spans="8:9" x14ac:dyDescent="0.25">
      <c r="H28">
        <f t="shared" si="0"/>
        <v>20</v>
      </c>
      <c r="I28">
        <f t="shared" si="1"/>
        <v>1</v>
      </c>
    </row>
    <row r="29" spans="8:9" x14ac:dyDescent="0.25">
      <c r="H29">
        <f t="shared" si="0"/>
        <v>20</v>
      </c>
      <c r="I29">
        <f t="shared" si="1"/>
        <v>1</v>
      </c>
    </row>
    <row r="30" spans="8:9" x14ac:dyDescent="0.25">
      <c r="H30">
        <f t="shared" si="0"/>
        <v>20</v>
      </c>
      <c r="I30">
        <f t="shared" si="1"/>
        <v>1</v>
      </c>
    </row>
    <row r="31" spans="8:9" x14ac:dyDescent="0.25">
      <c r="H31">
        <f t="shared" si="0"/>
        <v>20</v>
      </c>
      <c r="I31">
        <f t="shared" si="1"/>
        <v>1</v>
      </c>
    </row>
    <row r="32" spans="8:9" x14ac:dyDescent="0.25">
      <c r="H32">
        <f t="shared" si="0"/>
        <v>20</v>
      </c>
      <c r="I32">
        <f t="shared" si="1"/>
        <v>1</v>
      </c>
    </row>
    <row r="33" spans="8:9" x14ac:dyDescent="0.25">
      <c r="H33">
        <f t="shared" si="0"/>
        <v>20</v>
      </c>
      <c r="I33">
        <f t="shared" si="1"/>
        <v>1</v>
      </c>
    </row>
    <row r="34" spans="8:9" x14ac:dyDescent="0.25">
      <c r="H34">
        <f t="shared" si="0"/>
        <v>20</v>
      </c>
      <c r="I34">
        <f t="shared" si="1"/>
        <v>1</v>
      </c>
    </row>
    <row r="35" spans="8:9" x14ac:dyDescent="0.25">
      <c r="H35">
        <f t="shared" si="0"/>
        <v>20</v>
      </c>
      <c r="I35">
        <f t="shared" si="1"/>
        <v>1</v>
      </c>
    </row>
    <row r="36" spans="8:9" x14ac:dyDescent="0.25">
      <c r="H36">
        <f t="shared" si="0"/>
        <v>20</v>
      </c>
      <c r="I36">
        <f t="shared" si="1"/>
        <v>1</v>
      </c>
    </row>
    <row r="37" spans="8:9" x14ac:dyDescent="0.25">
      <c r="H37">
        <f t="shared" si="0"/>
        <v>20</v>
      </c>
      <c r="I37">
        <f t="shared" si="1"/>
        <v>1</v>
      </c>
    </row>
    <row r="38" spans="8:9" x14ac:dyDescent="0.25">
      <c r="H38">
        <f t="shared" si="0"/>
        <v>20</v>
      </c>
      <c r="I38">
        <f t="shared" si="1"/>
        <v>1</v>
      </c>
    </row>
    <row r="39" spans="8:9" x14ac:dyDescent="0.25">
      <c r="H39">
        <f t="shared" si="0"/>
        <v>20</v>
      </c>
      <c r="I39">
        <f t="shared" si="1"/>
        <v>1</v>
      </c>
    </row>
    <row r="40" spans="8:9" x14ac:dyDescent="0.25">
      <c r="H40">
        <f t="shared" si="0"/>
        <v>20</v>
      </c>
      <c r="I40">
        <f t="shared" si="1"/>
        <v>1</v>
      </c>
    </row>
    <row r="41" spans="8:9" x14ac:dyDescent="0.25">
      <c r="H41">
        <f t="shared" si="0"/>
        <v>20</v>
      </c>
      <c r="I41">
        <f t="shared" si="1"/>
        <v>1</v>
      </c>
    </row>
    <row r="42" spans="8:9" x14ac:dyDescent="0.25">
      <c r="H42">
        <f t="shared" si="0"/>
        <v>20</v>
      </c>
      <c r="I42">
        <f t="shared" si="1"/>
        <v>1</v>
      </c>
    </row>
    <row r="43" spans="8:9" x14ac:dyDescent="0.25">
      <c r="H43">
        <f t="shared" si="0"/>
        <v>20</v>
      </c>
      <c r="I43">
        <f t="shared" si="1"/>
        <v>1</v>
      </c>
    </row>
    <row r="44" spans="8:9" x14ac:dyDescent="0.25">
      <c r="H44">
        <f t="shared" si="0"/>
        <v>20</v>
      </c>
      <c r="I44">
        <f t="shared" si="1"/>
        <v>1</v>
      </c>
    </row>
    <row r="45" spans="8:9" x14ac:dyDescent="0.25">
      <c r="H45">
        <f t="shared" si="0"/>
        <v>20</v>
      </c>
      <c r="I45">
        <f t="shared" si="1"/>
        <v>1</v>
      </c>
    </row>
    <row r="46" spans="8:9" x14ac:dyDescent="0.25">
      <c r="H46">
        <f t="shared" si="0"/>
        <v>20</v>
      </c>
      <c r="I46">
        <f t="shared" si="1"/>
        <v>1</v>
      </c>
    </row>
    <row r="47" spans="8:9" x14ac:dyDescent="0.25">
      <c r="H47">
        <f t="shared" si="0"/>
        <v>20</v>
      </c>
      <c r="I47">
        <f t="shared" si="1"/>
        <v>1</v>
      </c>
    </row>
    <row r="48" spans="8:9" x14ac:dyDescent="0.25">
      <c r="H48">
        <f t="shared" si="0"/>
        <v>20</v>
      </c>
      <c r="I48">
        <f t="shared" si="1"/>
        <v>1</v>
      </c>
    </row>
    <row r="49" spans="8:9" x14ac:dyDescent="0.25">
      <c r="H49">
        <f t="shared" si="0"/>
        <v>20</v>
      </c>
      <c r="I49">
        <f t="shared" si="1"/>
        <v>1</v>
      </c>
    </row>
    <row r="50" spans="8:9" x14ac:dyDescent="0.25">
      <c r="H50">
        <f t="shared" si="0"/>
        <v>20</v>
      </c>
      <c r="I50">
        <f t="shared" si="1"/>
        <v>1</v>
      </c>
    </row>
    <row r="51" spans="8:9" x14ac:dyDescent="0.25">
      <c r="H51">
        <f t="shared" si="0"/>
        <v>20</v>
      </c>
      <c r="I51">
        <f t="shared" si="1"/>
        <v>1</v>
      </c>
    </row>
    <row r="52" spans="8:9" x14ac:dyDescent="0.25">
      <c r="H52">
        <f t="shared" si="0"/>
        <v>20</v>
      </c>
      <c r="I52">
        <f t="shared" si="1"/>
        <v>1</v>
      </c>
    </row>
    <row r="53" spans="8:9" x14ac:dyDescent="0.25">
      <c r="H53">
        <f t="shared" si="0"/>
        <v>20</v>
      </c>
      <c r="I53">
        <f t="shared" si="1"/>
        <v>1</v>
      </c>
    </row>
    <row r="54" spans="8:9" x14ac:dyDescent="0.25">
      <c r="H54">
        <f t="shared" si="0"/>
        <v>20</v>
      </c>
      <c r="I54">
        <f t="shared" si="1"/>
        <v>1</v>
      </c>
    </row>
    <row r="55" spans="8:9" x14ac:dyDescent="0.25">
      <c r="H55">
        <f t="shared" si="0"/>
        <v>20</v>
      </c>
      <c r="I55">
        <f t="shared" si="1"/>
        <v>1</v>
      </c>
    </row>
    <row r="56" spans="8:9" x14ac:dyDescent="0.25">
      <c r="H56">
        <f t="shared" si="0"/>
        <v>20</v>
      </c>
      <c r="I56">
        <f t="shared" si="1"/>
        <v>1</v>
      </c>
    </row>
    <row r="57" spans="8:9" x14ac:dyDescent="0.25">
      <c r="H57">
        <f t="shared" si="0"/>
        <v>20</v>
      </c>
      <c r="I57">
        <f t="shared" si="1"/>
        <v>1</v>
      </c>
    </row>
    <row r="58" spans="8:9" x14ac:dyDescent="0.25">
      <c r="H58">
        <f t="shared" si="0"/>
        <v>20</v>
      </c>
      <c r="I58">
        <f t="shared" si="1"/>
        <v>1</v>
      </c>
    </row>
    <row r="59" spans="8:9" x14ac:dyDescent="0.25">
      <c r="H59">
        <f t="shared" si="0"/>
        <v>20</v>
      </c>
      <c r="I59">
        <f t="shared" si="1"/>
        <v>1</v>
      </c>
    </row>
    <row r="60" spans="8:9" x14ac:dyDescent="0.25">
      <c r="H60">
        <f t="shared" si="0"/>
        <v>20</v>
      </c>
      <c r="I60">
        <f t="shared" si="1"/>
        <v>1</v>
      </c>
    </row>
    <row r="61" spans="8:9" x14ac:dyDescent="0.25">
      <c r="H61">
        <f t="shared" si="0"/>
        <v>20</v>
      </c>
      <c r="I61">
        <f t="shared" si="1"/>
        <v>1</v>
      </c>
    </row>
    <row r="62" spans="8:9" x14ac:dyDescent="0.25">
      <c r="H62">
        <f t="shared" si="0"/>
        <v>20</v>
      </c>
      <c r="I62">
        <f t="shared" si="1"/>
        <v>1</v>
      </c>
    </row>
    <row r="63" spans="8:9" x14ac:dyDescent="0.25">
      <c r="H63">
        <f t="shared" si="0"/>
        <v>20</v>
      </c>
      <c r="I63">
        <f t="shared" si="1"/>
        <v>1</v>
      </c>
    </row>
    <row r="64" spans="8:9" x14ac:dyDescent="0.25">
      <c r="H64">
        <f t="shared" si="0"/>
        <v>20</v>
      </c>
      <c r="I64">
        <f t="shared" si="1"/>
        <v>1</v>
      </c>
    </row>
    <row r="65" spans="8:9" x14ac:dyDescent="0.25">
      <c r="H65">
        <f t="shared" si="0"/>
        <v>20</v>
      </c>
      <c r="I65">
        <f t="shared" si="1"/>
        <v>1</v>
      </c>
    </row>
    <row r="66" spans="8:9" x14ac:dyDescent="0.25">
      <c r="H66">
        <f t="shared" si="0"/>
        <v>20</v>
      </c>
      <c r="I66">
        <f t="shared" si="1"/>
        <v>1</v>
      </c>
    </row>
    <row r="67" spans="8:9" x14ac:dyDescent="0.25">
      <c r="H67">
        <f t="shared" ref="H67:H130" si="2">C67+20</f>
        <v>20</v>
      </c>
      <c r="I67">
        <f t="shared" ref="I67:I130" si="3">INT(H67/100)+1</f>
        <v>1</v>
      </c>
    </row>
    <row r="68" spans="8:9" x14ac:dyDescent="0.25">
      <c r="H68">
        <f t="shared" si="2"/>
        <v>20</v>
      </c>
      <c r="I68">
        <f t="shared" si="3"/>
        <v>1</v>
      </c>
    </row>
    <row r="69" spans="8:9" x14ac:dyDescent="0.25">
      <c r="H69">
        <f t="shared" si="2"/>
        <v>20</v>
      </c>
      <c r="I69">
        <f t="shared" si="3"/>
        <v>1</v>
      </c>
    </row>
    <row r="70" spans="8:9" x14ac:dyDescent="0.25">
      <c r="H70">
        <f t="shared" si="2"/>
        <v>20</v>
      </c>
      <c r="I70">
        <f t="shared" si="3"/>
        <v>1</v>
      </c>
    </row>
    <row r="71" spans="8:9" x14ac:dyDescent="0.25">
      <c r="H71">
        <f t="shared" si="2"/>
        <v>20</v>
      </c>
      <c r="I71">
        <f t="shared" si="3"/>
        <v>1</v>
      </c>
    </row>
    <row r="72" spans="8:9" x14ac:dyDescent="0.25">
      <c r="H72">
        <f t="shared" si="2"/>
        <v>20</v>
      </c>
      <c r="I72">
        <f t="shared" si="3"/>
        <v>1</v>
      </c>
    </row>
    <row r="73" spans="8:9" x14ac:dyDescent="0.25">
      <c r="H73">
        <f t="shared" si="2"/>
        <v>20</v>
      </c>
      <c r="I73">
        <f t="shared" si="3"/>
        <v>1</v>
      </c>
    </row>
    <row r="74" spans="8:9" x14ac:dyDescent="0.25">
      <c r="H74">
        <f t="shared" si="2"/>
        <v>20</v>
      </c>
      <c r="I74">
        <f t="shared" si="3"/>
        <v>1</v>
      </c>
    </row>
    <row r="75" spans="8:9" x14ac:dyDescent="0.25">
      <c r="H75">
        <f t="shared" si="2"/>
        <v>20</v>
      </c>
      <c r="I75">
        <f t="shared" si="3"/>
        <v>1</v>
      </c>
    </row>
    <row r="76" spans="8:9" x14ac:dyDescent="0.25">
      <c r="H76">
        <f t="shared" si="2"/>
        <v>20</v>
      </c>
      <c r="I76">
        <f t="shared" si="3"/>
        <v>1</v>
      </c>
    </row>
    <row r="77" spans="8:9" x14ac:dyDescent="0.25">
      <c r="H77">
        <f t="shared" si="2"/>
        <v>20</v>
      </c>
      <c r="I77">
        <f t="shared" si="3"/>
        <v>1</v>
      </c>
    </row>
    <row r="78" spans="8:9" x14ac:dyDescent="0.25">
      <c r="H78">
        <f t="shared" si="2"/>
        <v>20</v>
      </c>
      <c r="I78">
        <f t="shared" si="3"/>
        <v>1</v>
      </c>
    </row>
    <row r="79" spans="8:9" x14ac:dyDescent="0.25">
      <c r="H79">
        <f t="shared" si="2"/>
        <v>20</v>
      </c>
      <c r="I79">
        <f t="shared" si="3"/>
        <v>1</v>
      </c>
    </row>
    <row r="80" spans="8:9" x14ac:dyDescent="0.25">
      <c r="H80">
        <f t="shared" si="2"/>
        <v>20</v>
      </c>
      <c r="I80">
        <f t="shared" si="3"/>
        <v>1</v>
      </c>
    </row>
    <row r="81" spans="8:9" x14ac:dyDescent="0.25">
      <c r="H81">
        <f t="shared" si="2"/>
        <v>20</v>
      </c>
      <c r="I81">
        <f t="shared" si="3"/>
        <v>1</v>
      </c>
    </row>
    <row r="82" spans="8:9" x14ac:dyDescent="0.25">
      <c r="H82">
        <f t="shared" si="2"/>
        <v>20</v>
      </c>
      <c r="I82">
        <f t="shared" si="3"/>
        <v>1</v>
      </c>
    </row>
    <row r="83" spans="8:9" x14ac:dyDescent="0.25">
      <c r="H83">
        <f t="shared" si="2"/>
        <v>20</v>
      </c>
      <c r="I83">
        <f t="shared" si="3"/>
        <v>1</v>
      </c>
    </row>
    <row r="84" spans="8:9" x14ac:dyDescent="0.25">
      <c r="H84">
        <f t="shared" si="2"/>
        <v>20</v>
      </c>
      <c r="I84">
        <f t="shared" si="3"/>
        <v>1</v>
      </c>
    </row>
    <row r="85" spans="8:9" x14ac:dyDescent="0.25">
      <c r="H85">
        <f t="shared" si="2"/>
        <v>20</v>
      </c>
      <c r="I85">
        <f t="shared" si="3"/>
        <v>1</v>
      </c>
    </row>
    <row r="86" spans="8:9" x14ac:dyDescent="0.25">
      <c r="H86">
        <f t="shared" si="2"/>
        <v>20</v>
      </c>
      <c r="I86">
        <f t="shared" si="3"/>
        <v>1</v>
      </c>
    </row>
    <row r="87" spans="8:9" x14ac:dyDescent="0.25">
      <c r="H87">
        <f t="shared" si="2"/>
        <v>20</v>
      </c>
      <c r="I87">
        <f t="shared" si="3"/>
        <v>1</v>
      </c>
    </row>
    <row r="88" spans="8:9" x14ac:dyDescent="0.25">
      <c r="H88">
        <f t="shared" si="2"/>
        <v>20</v>
      </c>
      <c r="I88">
        <f t="shared" si="3"/>
        <v>1</v>
      </c>
    </row>
    <row r="89" spans="8:9" x14ac:dyDescent="0.25">
      <c r="H89">
        <f t="shared" si="2"/>
        <v>20</v>
      </c>
      <c r="I89">
        <f t="shared" si="3"/>
        <v>1</v>
      </c>
    </row>
    <row r="90" spans="8:9" x14ac:dyDescent="0.25">
      <c r="H90">
        <f t="shared" si="2"/>
        <v>20</v>
      </c>
      <c r="I90">
        <f t="shared" si="3"/>
        <v>1</v>
      </c>
    </row>
    <row r="91" spans="8:9" x14ac:dyDescent="0.25">
      <c r="H91">
        <f t="shared" si="2"/>
        <v>20</v>
      </c>
      <c r="I91">
        <f t="shared" si="3"/>
        <v>1</v>
      </c>
    </row>
    <row r="92" spans="8:9" x14ac:dyDescent="0.25">
      <c r="H92">
        <f t="shared" si="2"/>
        <v>20</v>
      </c>
      <c r="I92">
        <f t="shared" si="3"/>
        <v>1</v>
      </c>
    </row>
    <row r="93" spans="8:9" x14ac:dyDescent="0.25">
      <c r="H93">
        <f t="shared" si="2"/>
        <v>20</v>
      </c>
      <c r="I93">
        <f t="shared" si="3"/>
        <v>1</v>
      </c>
    </row>
    <row r="94" spans="8:9" x14ac:dyDescent="0.25">
      <c r="H94">
        <f t="shared" si="2"/>
        <v>20</v>
      </c>
      <c r="I94">
        <f t="shared" si="3"/>
        <v>1</v>
      </c>
    </row>
    <row r="95" spans="8:9" x14ac:dyDescent="0.25">
      <c r="H95">
        <f t="shared" si="2"/>
        <v>20</v>
      </c>
      <c r="I95">
        <f t="shared" si="3"/>
        <v>1</v>
      </c>
    </row>
    <row r="96" spans="8:9" x14ac:dyDescent="0.25">
      <c r="H96">
        <f t="shared" si="2"/>
        <v>20</v>
      </c>
      <c r="I96">
        <f t="shared" si="3"/>
        <v>1</v>
      </c>
    </row>
    <row r="97" spans="8:9" x14ac:dyDescent="0.25">
      <c r="H97">
        <f t="shared" si="2"/>
        <v>20</v>
      </c>
      <c r="I97">
        <f t="shared" si="3"/>
        <v>1</v>
      </c>
    </row>
    <row r="98" spans="8:9" x14ac:dyDescent="0.25">
      <c r="H98">
        <f t="shared" si="2"/>
        <v>20</v>
      </c>
      <c r="I98">
        <f t="shared" si="3"/>
        <v>1</v>
      </c>
    </row>
    <row r="99" spans="8:9" x14ac:dyDescent="0.25">
      <c r="H99">
        <f t="shared" si="2"/>
        <v>20</v>
      </c>
      <c r="I99">
        <f t="shared" si="3"/>
        <v>1</v>
      </c>
    </row>
    <row r="100" spans="8:9" x14ac:dyDescent="0.25">
      <c r="H100">
        <f t="shared" si="2"/>
        <v>20</v>
      </c>
      <c r="I100">
        <f t="shared" si="3"/>
        <v>1</v>
      </c>
    </row>
    <row r="101" spans="8:9" x14ac:dyDescent="0.25">
      <c r="H101">
        <f t="shared" si="2"/>
        <v>20</v>
      </c>
      <c r="I101">
        <f t="shared" si="3"/>
        <v>1</v>
      </c>
    </row>
    <row r="102" spans="8:9" x14ac:dyDescent="0.25">
      <c r="H102">
        <f t="shared" si="2"/>
        <v>20</v>
      </c>
      <c r="I102">
        <f t="shared" si="3"/>
        <v>1</v>
      </c>
    </row>
    <row r="103" spans="8:9" x14ac:dyDescent="0.25">
      <c r="H103">
        <f t="shared" si="2"/>
        <v>20</v>
      </c>
      <c r="I103">
        <f t="shared" si="3"/>
        <v>1</v>
      </c>
    </row>
    <row r="104" spans="8:9" x14ac:dyDescent="0.25">
      <c r="H104">
        <f t="shared" si="2"/>
        <v>20</v>
      </c>
      <c r="I104">
        <f t="shared" si="3"/>
        <v>1</v>
      </c>
    </row>
    <row r="105" spans="8:9" x14ac:dyDescent="0.25">
      <c r="H105">
        <f t="shared" si="2"/>
        <v>20</v>
      </c>
      <c r="I105">
        <f t="shared" si="3"/>
        <v>1</v>
      </c>
    </row>
    <row r="106" spans="8:9" x14ac:dyDescent="0.25">
      <c r="H106">
        <f t="shared" si="2"/>
        <v>20</v>
      </c>
      <c r="I106">
        <f t="shared" si="3"/>
        <v>1</v>
      </c>
    </row>
    <row r="107" spans="8:9" x14ac:dyDescent="0.25">
      <c r="H107">
        <f t="shared" si="2"/>
        <v>20</v>
      </c>
      <c r="I107">
        <f t="shared" si="3"/>
        <v>1</v>
      </c>
    </row>
    <row r="108" spans="8:9" x14ac:dyDescent="0.25">
      <c r="H108">
        <f t="shared" si="2"/>
        <v>20</v>
      </c>
      <c r="I108">
        <f t="shared" si="3"/>
        <v>1</v>
      </c>
    </row>
    <row r="109" spans="8:9" x14ac:dyDescent="0.25">
      <c r="H109">
        <f t="shared" si="2"/>
        <v>20</v>
      </c>
      <c r="I109">
        <f t="shared" si="3"/>
        <v>1</v>
      </c>
    </row>
    <row r="110" spans="8:9" x14ac:dyDescent="0.25">
      <c r="H110">
        <f t="shared" si="2"/>
        <v>20</v>
      </c>
      <c r="I110">
        <f t="shared" si="3"/>
        <v>1</v>
      </c>
    </row>
    <row r="111" spans="8:9" x14ac:dyDescent="0.25">
      <c r="H111">
        <f t="shared" si="2"/>
        <v>20</v>
      </c>
      <c r="I111">
        <f t="shared" si="3"/>
        <v>1</v>
      </c>
    </row>
    <row r="112" spans="8:9" x14ac:dyDescent="0.25">
      <c r="H112">
        <f t="shared" si="2"/>
        <v>20</v>
      </c>
      <c r="I112">
        <f t="shared" si="3"/>
        <v>1</v>
      </c>
    </row>
    <row r="113" spans="8:9" x14ac:dyDescent="0.25">
      <c r="H113">
        <f t="shared" si="2"/>
        <v>20</v>
      </c>
      <c r="I113">
        <f t="shared" si="3"/>
        <v>1</v>
      </c>
    </row>
    <row r="114" spans="8:9" x14ac:dyDescent="0.25">
      <c r="H114">
        <f t="shared" si="2"/>
        <v>20</v>
      </c>
      <c r="I114">
        <f t="shared" si="3"/>
        <v>1</v>
      </c>
    </row>
    <row r="115" spans="8:9" x14ac:dyDescent="0.25">
      <c r="H115">
        <f t="shared" si="2"/>
        <v>20</v>
      </c>
      <c r="I115">
        <f t="shared" si="3"/>
        <v>1</v>
      </c>
    </row>
    <row r="116" spans="8:9" x14ac:dyDescent="0.25">
      <c r="H116">
        <f t="shared" si="2"/>
        <v>20</v>
      </c>
      <c r="I116">
        <f t="shared" si="3"/>
        <v>1</v>
      </c>
    </row>
    <row r="117" spans="8:9" x14ac:dyDescent="0.25">
      <c r="H117">
        <f t="shared" si="2"/>
        <v>20</v>
      </c>
      <c r="I117">
        <f t="shared" si="3"/>
        <v>1</v>
      </c>
    </row>
    <row r="118" spans="8:9" x14ac:dyDescent="0.25">
      <c r="H118">
        <f t="shared" si="2"/>
        <v>20</v>
      </c>
      <c r="I118">
        <f t="shared" si="3"/>
        <v>1</v>
      </c>
    </row>
    <row r="119" spans="8:9" x14ac:dyDescent="0.25">
      <c r="H119">
        <f t="shared" si="2"/>
        <v>20</v>
      </c>
      <c r="I119">
        <f t="shared" si="3"/>
        <v>1</v>
      </c>
    </row>
    <row r="120" spans="8:9" x14ac:dyDescent="0.25">
      <c r="H120">
        <f t="shared" si="2"/>
        <v>20</v>
      </c>
      <c r="I120">
        <f t="shared" si="3"/>
        <v>1</v>
      </c>
    </row>
    <row r="121" spans="8:9" x14ac:dyDescent="0.25">
      <c r="H121">
        <f t="shared" si="2"/>
        <v>20</v>
      </c>
      <c r="I121">
        <f t="shared" si="3"/>
        <v>1</v>
      </c>
    </row>
    <row r="122" spans="8:9" x14ac:dyDescent="0.25">
      <c r="H122">
        <f t="shared" si="2"/>
        <v>20</v>
      </c>
      <c r="I122">
        <f t="shared" si="3"/>
        <v>1</v>
      </c>
    </row>
    <row r="123" spans="8:9" x14ac:dyDescent="0.25">
      <c r="H123">
        <f t="shared" si="2"/>
        <v>20</v>
      </c>
      <c r="I123">
        <f t="shared" si="3"/>
        <v>1</v>
      </c>
    </row>
    <row r="124" spans="8:9" x14ac:dyDescent="0.25">
      <c r="H124">
        <f t="shared" si="2"/>
        <v>20</v>
      </c>
      <c r="I124">
        <f t="shared" si="3"/>
        <v>1</v>
      </c>
    </row>
    <row r="125" spans="8:9" x14ac:dyDescent="0.25">
      <c r="H125">
        <f t="shared" si="2"/>
        <v>20</v>
      </c>
      <c r="I125">
        <f t="shared" si="3"/>
        <v>1</v>
      </c>
    </row>
    <row r="126" spans="8:9" x14ac:dyDescent="0.25">
      <c r="H126">
        <f t="shared" si="2"/>
        <v>20</v>
      </c>
      <c r="I126">
        <f t="shared" si="3"/>
        <v>1</v>
      </c>
    </row>
    <row r="127" spans="8:9" x14ac:dyDescent="0.25">
      <c r="H127">
        <f t="shared" si="2"/>
        <v>20</v>
      </c>
      <c r="I127">
        <f t="shared" si="3"/>
        <v>1</v>
      </c>
    </row>
    <row r="128" spans="8:9" x14ac:dyDescent="0.25">
      <c r="H128">
        <f t="shared" si="2"/>
        <v>20</v>
      </c>
      <c r="I128">
        <f t="shared" si="3"/>
        <v>1</v>
      </c>
    </row>
    <row r="129" spans="8:9" x14ac:dyDescent="0.25">
      <c r="H129">
        <f t="shared" si="2"/>
        <v>20</v>
      </c>
      <c r="I129">
        <f t="shared" si="3"/>
        <v>1</v>
      </c>
    </row>
    <row r="130" spans="8:9" x14ac:dyDescent="0.25">
      <c r="H130">
        <f t="shared" si="2"/>
        <v>20</v>
      </c>
      <c r="I130">
        <f t="shared" si="3"/>
        <v>1</v>
      </c>
    </row>
    <row r="131" spans="8:9" x14ac:dyDescent="0.25">
      <c r="H131">
        <f t="shared" ref="H131:H194" si="4">C131+20</f>
        <v>20</v>
      </c>
      <c r="I131">
        <f t="shared" ref="I131:I194" si="5">INT(H131/100)+1</f>
        <v>1</v>
      </c>
    </row>
    <row r="132" spans="8:9" x14ac:dyDescent="0.25">
      <c r="H132">
        <f t="shared" si="4"/>
        <v>20</v>
      </c>
      <c r="I132">
        <f t="shared" si="5"/>
        <v>1</v>
      </c>
    </row>
    <row r="133" spans="8:9" x14ac:dyDescent="0.25">
      <c r="H133">
        <f t="shared" si="4"/>
        <v>20</v>
      </c>
      <c r="I133">
        <f t="shared" si="5"/>
        <v>1</v>
      </c>
    </row>
    <row r="134" spans="8:9" x14ac:dyDescent="0.25">
      <c r="H134">
        <f t="shared" si="4"/>
        <v>20</v>
      </c>
      <c r="I134">
        <f t="shared" si="5"/>
        <v>1</v>
      </c>
    </row>
    <row r="135" spans="8:9" x14ac:dyDescent="0.25">
      <c r="H135">
        <f t="shared" si="4"/>
        <v>20</v>
      </c>
      <c r="I135">
        <f t="shared" si="5"/>
        <v>1</v>
      </c>
    </row>
    <row r="136" spans="8:9" x14ac:dyDescent="0.25">
      <c r="H136">
        <f t="shared" si="4"/>
        <v>20</v>
      </c>
      <c r="I136">
        <f t="shared" si="5"/>
        <v>1</v>
      </c>
    </row>
    <row r="137" spans="8:9" x14ac:dyDescent="0.25">
      <c r="H137">
        <f t="shared" si="4"/>
        <v>20</v>
      </c>
      <c r="I137">
        <f t="shared" si="5"/>
        <v>1</v>
      </c>
    </row>
    <row r="138" spans="8:9" x14ac:dyDescent="0.25">
      <c r="H138">
        <f t="shared" si="4"/>
        <v>20</v>
      </c>
      <c r="I138">
        <f t="shared" si="5"/>
        <v>1</v>
      </c>
    </row>
    <row r="139" spans="8:9" x14ac:dyDescent="0.25">
      <c r="H139">
        <f t="shared" si="4"/>
        <v>20</v>
      </c>
      <c r="I139">
        <f t="shared" si="5"/>
        <v>1</v>
      </c>
    </row>
    <row r="140" spans="8:9" x14ac:dyDescent="0.25">
      <c r="H140">
        <f t="shared" si="4"/>
        <v>20</v>
      </c>
      <c r="I140">
        <f t="shared" si="5"/>
        <v>1</v>
      </c>
    </row>
    <row r="141" spans="8:9" x14ac:dyDescent="0.25">
      <c r="H141">
        <f t="shared" si="4"/>
        <v>20</v>
      </c>
      <c r="I141">
        <f t="shared" si="5"/>
        <v>1</v>
      </c>
    </row>
    <row r="142" spans="8:9" x14ac:dyDescent="0.25">
      <c r="H142">
        <f t="shared" si="4"/>
        <v>20</v>
      </c>
      <c r="I142">
        <f t="shared" si="5"/>
        <v>1</v>
      </c>
    </row>
    <row r="143" spans="8:9" x14ac:dyDescent="0.25">
      <c r="H143">
        <f t="shared" si="4"/>
        <v>20</v>
      </c>
      <c r="I143">
        <f t="shared" si="5"/>
        <v>1</v>
      </c>
    </row>
    <row r="144" spans="8:9" x14ac:dyDescent="0.25">
      <c r="H144">
        <f t="shared" si="4"/>
        <v>20</v>
      </c>
      <c r="I144">
        <f t="shared" si="5"/>
        <v>1</v>
      </c>
    </row>
    <row r="145" spans="8:9" x14ac:dyDescent="0.25">
      <c r="H145">
        <f t="shared" si="4"/>
        <v>20</v>
      </c>
      <c r="I145">
        <f t="shared" si="5"/>
        <v>1</v>
      </c>
    </row>
    <row r="146" spans="8:9" x14ac:dyDescent="0.25">
      <c r="H146">
        <f t="shared" si="4"/>
        <v>20</v>
      </c>
      <c r="I146">
        <f t="shared" si="5"/>
        <v>1</v>
      </c>
    </row>
    <row r="147" spans="8:9" x14ac:dyDescent="0.25">
      <c r="H147">
        <f t="shared" si="4"/>
        <v>20</v>
      </c>
      <c r="I147">
        <f t="shared" si="5"/>
        <v>1</v>
      </c>
    </row>
    <row r="148" spans="8:9" x14ac:dyDescent="0.25">
      <c r="H148">
        <f t="shared" si="4"/>
        <v>20</v>
      </c>
      <c r="I148">
        <f t="shared" si="5"/>
        <v>1</v>
      </c>
    </row>
    <row r="149" spans="8:9" x14ac:dyDescent="0.25">
      <c r="H149">
        <f t="shared" si="4"/>
        <v>20</v>
      </c>
      <c r="I149">
        <f t="shared" si="5"/>
        <v>1</v>
      </c>
    </row>
    <row r="150" spans="8:9" x14ac:dyDescent="0.25">
      <c r="H150">
        <f t="shared" si="4"/>
        <v>20</v>
      </c>
      <c r="I150">
        <f t="shared" si="5"/>
        <v>1</v>
      </c>
    </row>
    <row r="151" spans="8:9" x14ac:dyDescent="0.25">
      <c r="H151">
        <f t="shared" si="4"/>
        <v>20</v>
      </c>
      <c r="I151">
        <f t="shared" si="5"/>
        <v>1</v>
      </c>
    </row>
    <row r="152" spans="8:9" x14ac:dyDescent="0.25">
      <c r="H152">
        <f t="shared" si="4"/>
        <v>20</v>
      </c>
      <c r="I152">
        <f t="shared" si="5"/>
        <v>1</v>
      </c>
    </row>
    <row r="153" spans="8:9" x14ac:dyDescent="0.25">
      <c r="H153">
        <f t="shared" si="4"/>
        <v>20</v>
      </c>
      <c r="I153">
        <f t="shared" si="5"/>
        <v>1</v>
      </c>
    </row>
    <row r="154" spans="8:9" x14ac:dyDescent="0.25">
      <c r="H154">
        <f t="shared" si="4"/>
        <v>20</v>
      </c>
      <c r="I154">
        <f t="shared" si="5"/>
        <v>1</v>
      </c>
    </row>
    <row r="155" spans="8:9" x14ac:dyDescent="0.25">
      <c r="H155">
        <f t="shared" si="4"/>
        <v>20</v>
      </c>
      <c r="I155">
        <f t="shared" si="5"/>
        <v>1</v>
      </c>
    </row>
    <row r="156" spans="8:9" x14ac:dyDescent="0.25">
      <c r="H156">
        <f t="shared" si="4"/>
        <v>20</v>
      </c>
      <c r="I156">
        <f t="shared" si="5"/>
        <v>1</v>
      </c>
    </row>
    <row r="157" spans="8:9" x14ac:dyDescent="0.25">
      <c r="H157">
        <f t="shared" si="4"/>
        <v>20</v>
      </c>
      <c r="I157">
        <f t="shared" si="5"/>
        <v>1</v>
      </c>
    </row>
    <row r="158" spans="8:9" x14ac:dyDescent="0.25">
      <c r="H158">
        <f t="shared" si="4"/>
        <v>20</v>
      </c>
      <c r="I158">
        <f t="shared" si="5"/>
        <v>1</v>
      </c>
    </row>
    <row r="159" spans="8:9" x14ac:dyDescent="0.25">
      <c r="H159">
        <f t="shared" si="4"/>
        <v>20</v>
      </c>
      <c r="I159">
        <f t="shared" si="5"/>
        <v>1</v>
      </c>
    </row>
    <row r="160" spans="8:9" x14ac:dyDescent="0.25">
      <c r="H160">
        <f t="shared" si="4"/>
        <v>20</v>
      </c>
      <c r="I160">
        <f t="shared" si="5"/>
        <v>1</v>
      </c>
    </row>
    <row r="161" spans="8:9" x14ac:dyDescent="0.25">
      <c r="H161">
        <f t="shared" si="4"/>
        <v>20</v>
      </c>
      <c r="I161">
        <f t="shared" si="5"/>
        <v>1</v>
      </c>
    </row>
    <row r="162" spans="8:9" x14ac:dyDescent="0.25">
      <c r="H162">
        <f t="shared" si="4"/>
        <v>20</v>
      </c>
      <c r="I162">
        <f t="shared" si="5"/>
        <v>1</v>
      </c>
    </row>
    <row r="163" spans="8:9" x14ac:dyDescent="0.25">
      <c r="H163">
        <f t="shared" si="4"/>
        <v>20</v>
      </c>
      <c r="I163">
        <f t="shared" si="5"/>
        <v>1</v>
      </c>
    </row>
    <row r="164" spans="8:9" x14ac:dyDescent="0.25">
      <c r="H164">
        <f t="shared" si="4"/>
        <v>20</v>
      </c>
      <c r="I164">
        <f t="shared" si="5"/>
        <v>1</v>
      </c>
    </row>
    <row r="165" spans="8:9" x14ac:dyDescent="0.25">
      <c r="H165">
        <f t="shared" si="4"/>
        <v>20</v>
      </c>
      <c r="I165">
        <f t="shared" si="5"/>
        <v>1</v>
      </c>
    </row>
    <row r="166" spans="8:9" x14ac:dyDescent="0.25">
      <c r="H166">
        <f t="shared" si="4"/>
        <v>20</v>
      </c>
      <c r="I166">
        <f t="shared" si="5"/>
        <v>1</v>
      </c>
    </row>
    <row r="167" spans="8:9" x14ac:dyDescent="0.25">
      <c r="H167">
        <f t="shared" si="4"/>
        <v>20</v>
      </c>
      <c r="I167">
        <f t="shared" si="5"/>
        <v>1</v>
      </c>
    </row>
    <row r="168" spans="8:9" x14ac:dyDescent="0.25">
      <c r="H168">
        <f t="shared" si="4"/>
        <v>20</v>
      </c>
      <c r="I168">
        <f t="shared" si="5"/>
        <v>1</v>
      </c>
    </row>
    <row r="169" spans="8:9" x14ac:dyDescent="0.25">
      <c r="H169">
        <f t="shared" si="4"/>
        <v>20</v>
      </c>
      <c r="I169">
        <f t="shared" si="5"/>
        <v>1</v>
      </c>
    </row>
    <row r="170" spans="8:9" x14ac:dyDescent="0.25">
      <c r="H170">
        <f t="shared" si="4"/>
        <v>20</v>
      </c>
      <c r="I170">
        <f t="shared" si="5"/>
        <v>1</v>
      </c>
    </row>
    <row r="171" spans="8:9" x14ac:dyDescent="0.25">
      <c r="H171">
        <f t="shared" si="4"/>
        <v>20</v>
      </c>
      <c r="I171">
        <f t="shared" si="5"/>
        <v>1</v>
      </c>
    </row>
    <row r="172" spans="8:9" x14ac:dyDescent="0.25">
      <c r="H172">
        <f t="shared" si="4"/>
        <v>20</v>
      </c>
      <c r="I172">
        <f t="shared" si="5"/>
        <v>1</v>
      </c>
    </row>
    <row r="173" spans="8:9" x14ac:dyDescent="0.25">
      <c r="H173">
        <f t="shared" si="4"/>
        <v>20</v>
      </c>
      <c r="I173">
        <f t="shared" si="5"/>
        <v>1</v>
      </c>
    </row>
    <row r="174" spans="8:9" x14ac:dyDescent="0.25">
      <c r="H174">
        <f t="shared" si="4"/>
        <v>20</v>
      </c>
      <c r="I174">
        <f t="shared" si="5"/>
        <v>1</v>
      </c>
    </row>
    <row r="175" spans="8:9" x14ac:dyDescent="0.25">
      <c r="H175">
        <f t="shared" si="4"/>
        <v>20</v>
      </c>
      <c r="I175">
        <f t="shared" si="5"/>
        <v>1</v>
      </c>
    </row>
    <row r="176" spans="8:9" x14ac:dyDescent="0.25">
      <c r="H176">
        <f t="shared" si="4"/>
        <v>20</v>
      </c>
      <c r="I176">
        <f t="shared" si="5"/>
        <v>1</v>
      </c>
    </row>
    <row r="177" spans="8:9" x14ac:dyDescent="0.25">
      <c r="H177">
        <f t="shared" si="4"/>
        <v>20</v>
      </c>
      <c r="I177">
        <f t="shared" si="5"/>
        <v>1</v>
      </c>
    </row>
    <row r="178" spans="8:9" x14ac:dyDescent="0.25">
      <c r="H178">
        <f t="shared" si="4"/>
        <v>20</v>
      </c>
      <c r="I178">
        <f t="shared" si="5"/>
        <v>1</v>
      </c>
    </row>
    <row r="179" spans="8:9" x14ac:dyDescent="0.25">
      <c r="H179">
        <f t="shared" si="4"/>
        <v>20</v>
      </c>
      <c r="I179">
        <f t="shared" si="5"/>
        <v>1</v>
      </c>
    </row>
    <row r="180" spans="8:9" x14ac:dyDescent="0.25">
      <c r="H180">
        <f t="shared" si="4"/>
        <v>20</v>
      </c>
      <c r="I180">
        <f t="shared" si="5"/>
        <v>1</v>
      </c>
    </row>
    <row r="181" spans="8:9" x14ac:dyDescent="0.25">
      <c r="H181">
        <f t="shared" si="4"/>
        <v>20</v>
      </c>
      <c r="I181">
        <f t="shared" si="5"/>
        <v>1</v>
      </c>
    </row>
    <row r="182" spans="8:9" x14ac:dyDescent="0.25">
      <c r="H182">
        <f t="shared" si="4"/>
        <v>20</v>
      </c>
      <c r="I182">
        <f t="shared" si="5"/>
        <v>1</v>
      </c>
    </row>
    <row r="183" spans="8:9" x14ac:dyDescent="0.25">
      <c r="H183">
        <f t="shared" si="4"/>
        <v>20</v>
      </c>
      <c r="I183">
        <f t="shared" si="5"/>
        <v>1</v>
      </c>
    </row>
    <row r="184" spans="8:9" x14ac:dyDescent="0.25">
      <c r="H184">
        <f t="shared" si="4"/>
        <v>20</v>
      </c>
      <c r="I184">
        <f t="shared" si="5"/>
        <v>1</v>
      </c>
    </row>
    <row r="185" spans="8:9" x14ac:dyDescent="0.25">
      <c r="H185">
        <f t="shared" si="4"/>
        <v>20</v>
      </c>
      <c r="I185">
        <f t="shared" si="5"/>
        <v>1</v>
      </c>
    </row>
    <row r="186" spans="8:9" x14ac:dyDescent="0.25">
      <c r="H186">
        <f t="shared" si="4"/>
        <v>20</v>
      </c>
      <c r="I186">
        <f t="shared" si="5"/>
        <v>1</v>
      </c>
    </row>
    <row r="187" spans="8:9" x14ac:dyDescent="0.25">
      <c r="H187">
        <f t="shared" si="4"/>
        <v>20</v>
      </c>
      <c r="I187">
        <f t="shared" si="5"/>
        <v>1</v>
      </c>
    </row>
    <row r="188" spans="8:9" x14ac:dyDescent="0.25">
      <c r="H188">
        <f t="shared" si="4"/>
        <v>20</v>
      </c>
      <c r="I188">
        <f t="shared" si="5"/>
        <v>1</v>
      </c>
    </row>
    <row r="189" spans="8:9" x14ac:dyDescent="0.25">
      <c r="H189">
        <f t="shared" si="4"/>
        <v>20</v>
      </c>
      <c r="I189">
        <f t="shared" si="5"/>
        <v>1</v>
      </c>
    </row>
    <row r="190" spans="8:9" x14ac:dyDescent="0.25">
      <c r="H190">
        <f t="shared" si="4"/>
        <v>20</v>
      </c>
      <c r="I190">
        <f t="shared" si="5"/>
        <v>1</v>
      </c>
    </row>
    <row r="191" spans="8:9" x14ac:dyDescent="0.25">
      <c r="H191">
        <f t="shared" si="4"/>
        <v>20</v>
      </c>
      <c r="I191">
        <f t="shared" si="5"/>
        <v>1</v>
      </c>
    </row>
    <row r="192" spans="8:9" x14ac:dyDescent="0.25">
      <c r="H192">
        <f t="shared" si="4"/>
        <v>20</v>
      </c>
      <c r="I192">
        <f t="shared" si="5"/>
        <v>1</v>
      </c>
    </row>
    <row r="193" spans="8:9" x14ac:dyDescent="0.25">
      <c r="H193">
        <f t="shared" si="4"/>
        <v>20</v>
      </c>
      <c r="I193">
        <f t="shared" si="5"/>
        <v>1</v>
      </c>
    </row>
    <row r="194" spans="8:9" x14ac:dyDescent="0.25">
      <c r="H194">
        <f t="shared" si="4"/>
        <v>20</v>
      </c>
      <c r="I194">
        <f t="shared" si="5"/>
        <v>1</v>
      </c>
    </row>
    <row r="195" spans="8:9" x14ac:dyDescent="0.25">
      <c r="H195">
        <f t="shared" ref="H195:H258" si="6">C195+20</f>
        <v>20</v>
      </c>
      <c r="I195">
        <f t="shared" ref="I195:I258" si="7">INT(H195/100)+1</f>
        <v>1</v>
      </c>
    </row>
    <row r="196" spans="8:9" x14ac:dyDescent="0.25">
      <c r="H196">
        <f t="shared" si="6"/>
        <v>20</v>
      </c>
      <c r="I196">
        <f t="shared" si="7"/>
        <v>1</v>
      </c>
    </row>
    <row r="197" spans="8:9" x14ac:dyDescent="0.25">
      <c r="H197">
        <f t="shared" si="6"/>
        <v>20</v>
      </c>
      <c r="I197">
        <f t="shared" si="7"/>
        <v>1</v>
      </c>
    </row>
    <row r="198" spans="8:9" x14ac:dyDescent="0.25">
      <c r="H198">
        <f t="shared" si="6"/>
        <v>20</v>
      </c>
      <c r="I198">
        <f t="shared" si="7"/>
        <v>1</v>
      </c>
    </row>
    <row r="199" spans="8:9" x14ac:dyDescent="0.25">
      <c r="H199">
        <f t="shared" si="6"/>
        <v>20</v>
      </c>
      <c r="I199">
        <f t="shared" si="7"/>
        <v>1</v>
      </c>
    </row>
    <row r="200" spans="8:9" x14ac:dyDescent="0.25">
      <c r="H200">
        <f t="shared" si="6"/>
        <v>20</v>
      </c>
      <c r="I200">
        <f t="shared" si="7"/>
        <v>1</v>
      </c>
    </row>
    <row r="201" spans="8:9" x14ac:dyDescent="0.25">
      <c r="H201">
        <f t="shared" si="6"/>
        <v>20</v>
      </c>
      <c r="I201">
        <f t="shared" si="7"/>
        <v>1</v>
      </c>
    </row>
    <row r="202" spans="8:9" x14ac:dyDescent="0.25">
      <c r="H202">
        <f t="shared" si="6"/>
        <v>20</v>
      </c>
      <c r="I202">
        <f t="shared" si="7"/>
        <v>1</v>
      </c>
    </row>
    <row r="203" spans="8:9" x14ac:dyDescent="0.25">
      <c r="H203">
        <f t="shared" si="6"/>
        <v>20</v>
      </c>
      <c r="I203">
        <f t="shared" si="7"/>
        <v>1</v>
      </c>
    </row>
    <row r="204" spans="8:9" x14ac:dyDescent="0.25">
      <c r="H204">
        <f t="shared" si="6"/>
        <v>20</v>
      </c>
      <c r="I204">
        <f t="shared" si="7"/>
        <v>1</v>
      </c>
    </row>
    <row r="205" spans="8:9" x14ac:dyDescent="0.25">
      <c r="H205">
        <f t="shared" si="6"/>
        <v>20</v>
      </c>
      <c r="I205">
        <f t="shared" si="7"/>
        <v>1</v>
      </c>
    </row>
    <row r="206" spans="8:9" x14ac:dyDescent="0.25">
      <c r="H206">
        <f t="shared" si="6"/>
        <v>20</v>
      </c>
      <c r="I206">
        <f t="shared" si="7"/>
        <v>1</v>
      </c>
    </row>
    <row r="207" spans="8:9" x14ac:dyDescent="0.25">
      <c r="H207">
        <f t="shared" si="6"/>
        <v>20</v>
      </c>
      <c r="I207">
        <f t="shared" si="7"/>
        <v>1</v>
      </c>
    </row>
    <row r="208" spans="8:9" x14ac:dyDescent="0.25">
      <c r="H208">
        <f t="shared" si="6"/>
        <v>20</v>
      </c>
      <c r="I208">
        <f t="shared" si="7"/>
        <v>1</v>
      </c>
    </row>
    <row r="209" spans="8:9" x14ac:dyDescent="0.25">
      <c r="H209">
        <f t="shared" si="6"/>
        <v>20</v>
      </c>
      <c r="I209">
        <f t="shared" si="7"/>
        <v>1</v>
      </c>
    </row>
    <row r="210" spans="8:9" x14ac:dyDescent="0.25">
      <c r="H210">
        <f t="shared" si="6"/>
        <v>20</v>
      </c>
      <c r="I210">
        <f t="shared" si="7"/>
        <v>1</v>
      </c>
    </row>
    <row r="211" spans="8:9" x14ac:dyDescent="0.25">
      <c r="H211">
        <f t="shared" si="6"/>
        <v>20</v>
      </c>
      <c r="I211">
        <f t="shared" si="7"/>
        <v>1</v>
      </c>
    </row>
    <row r="212" spans="8:9" x14ac:dyDescent="0.25">
      <c r="H212">
        <f t="shared" si="6"/>
        <v>20</v>
      </c>
      <c r="I212">
        <f t="shared" si="7"/>
        <v>1</v>
      </c>
    </row>
    <row r="213" spans="8:9" x14ac:dyDescent="0.25">
      <c r="H213">
        <f t="shared" si="6"/>
        <v>20</v>
      </c>
      <c r="I213">
        <f t="shared" si="7"/>
        <v>1</v>
      </c>
    </row>
    <row r="214" spans="8:9" x14ac:dyDescent="0.25">
      <c r="H214">
        <f t="shared" si="6"/>
        <v>20</v>
      </c>
      <c r="I214">
        <f t="shared" si="7"/>
        <v>1</v>
      </c>
    </row>
    <row r="215" spans="8:9" x14ac:dyDescent="0.25">
      <c r="H215">
        <f t="shared" si="6"/>
        <v>20</v>
      </c>
      <c r="I215">
        <f t="shared" si="7"/>
        <v>1</v>
      </c>
    </row>
    <row r="216" spans="8:9" x14ac:dyDescent="0.25">
      <c r="H216">
        <f t="shared" si="6"/>
        <v>20</v>
      </c>
      <c r="I216">
        <f t="shared" si="7"/>
        <v>1</v>
      </c>
    </row>
    <row r="217" spans="8:9" x14ac:dyDescent="0.25">
      <c r="H217">
        <f t="shared" si="6"/>
        <v>20</v>
      </c>
      <c r="I217">
        <f t="shared" si="7"/>
        <v>1</v>
      </c>
    </row>
    <row r="218" spans="8:9" x14ac:dyDescent="0.25">
      <c r="H218">
        <f t="shared" si="6"/>
        <v>20</v>
      </c>
      <c r="I218">
        <f t="shared" si="7"/>
        <v>1</v>
      </c>
    </row>
    <row r="219" spans="8:9" x14ac:dyDescent="0.25">
      <c r="H219">
        <f t="shared" si="6"/>
        <v>20</v>
      </c>
      <c r="I219">
        <f t="shared" si="7"/>
        <v>1</v>
      </c>
    </row>
    <row r="220" spans="8:9" x14ac:dyDescent="0.25">
      <c r="H220">
        <f t="shared" si="6"/>
        <v>20</v>
      </c>
      <c r="I220">
        <f t="shared" si="7"/>
        <v>1</v>
      </c>
    </row>
    <row r="221" spans="8:9" x14ac:dyDescent="0.25">
      <c r="H221">
        <f t="shared" si="6"/>
        <v>20</v>
      </c>
      <c r="I221">
        <f t="shared" si="7"/>
        <v>1</v>
      </c>
    </row>
    <row r="222" spans="8:9" x14ac:dyDescent="0.25">
      <c r="H222">
        <f t="shared" si="6"/>
        <v>20</v>
      </c>
      <c r="I222">
        <f t="shared" si="7"/>
        <v>1</v>
      </c>
    </row>
    <row r="223" spans="8:9" x14ac:dyDescent="0.25">
      <c r="H223">
        <f t="shared" si="6"/>
        <v>20</v>
      </c>
      <c r="I223">
        <f t="shared" si="7"/>
        <v>1</v>
      </c>
    </row>
    <row r="224" spans="8:9" x14ac:dyDescent="0.25">
      <c r="H224">
        <f t="shared" si="6"/>
        <v>20</v>
      </c>
      <c r="I224">
        <f t="shared" si="7"/>
        <v>1</v>
      </c>
    </row>
    <row r="225" spans="8:9" x14ac:dyDescent="0.25">
      <c r="H225">
        <f t="shared" si="6"/>
        <v>20</v>
      </c>
      <c r="I225">
        <f t="shared" si="7"/>
        <v>1</v>
      </c>
    </row>
    <row r="226" spans="8:9" x14ac:dyDescent="0.25">
      <c r="H226">
        <f t="shared" si="6"/>
        <v>20</v>
      </c>
      <c r="I226">
        <f t="shared" si="7"/>
        <v>1</v>
      </c>
    </row>
    <row r="227" spans="8:9" x14ac:dyDescent="0.25">
      <c r="H227">
        <f t="shared" si="6"/>
        <v>20</v>
      </c>
      <c r="I227">
        <f t="shared" si="7"/>
        <v>1</v>
      </c>
    </row>
    <row r="228" spans="8:9" x14ac:dyDescent="0.25">
      <c r="H228">
        <f t="shared" si="6"/>
        <v>20</v>
      </c>
      <c r="I228">
        <f t="shared" si="7"/>
        <v>1</v>
      </c>
    </row>
    <row r="229" spans="8:9" x14ac:dyDescent="0.25">
      <c r="H229">
        <f t="shared" si="6"/>
        <v>20</v>
      </c>
      <c r="I229">
        <f t="shared" si="7"/>
        <v>1</v>
      </c>
    </row>
    <row r="230" spans="8:9" x14ac:dyDescent="0.25">
      <c r="H230">
        <f t="shared" si="6"/>
        <v>20</v>
      </c>
      <c r="I230">
        <f t="shared" si="7"/>
        <v>1</v>
      </c>
    </row>
    <row r="231" spans="8:9" x14ac:dyDescent="0.25">
      <c r="H231">
        <f t="shared" si="6"/>
        <v>20</v>
      </c>
      <c r="I231">
        <f t="shared" si="7"/>
        <v>1</v>
      </c>
    </row>
    <row r="232" spans="8:9" x14ac:dyDescent="0.25">
      <c r="H232">
        <f t="shared" si="6"/>
        <v>20</v>
      </c>
      <c r="I232">
        <f t="shared" si="7"/>
        <v>1</v>
      </c>
    </row>
    <row r="233" spans="8:9" x14ac:dyDescent="0.25">
      <c r="H233">
        <f t="shared" si="6"/>
        <v>20</v>
      </c>
      <c r="I233">
        <f t="shared" si="7"/>
        <v>1</v>
      </c>
    </row>
    <row r="234" spans="8:9" x14ac:dyDescent="0.25">
      <c r="H234">
        <f t="shared" si="6"/>
        <v>20</v>
      </c>
      <c r="I234">
        <f t="shared" si="7"/>
        <v>1</v>
      </c>
    </row>
    <row r="235" spans="8:9" x14ac:dyDescent="0.25">
      <c r="H235">
        <f t="shared" si="6"/>
        <v>20</v>
      </c>
      <c r="I235">
        <f t="shared" si="7"/>
        <v>1</v>
      </c>
    </row>
    <row r="236" spans="8:9" x14ac:dyDescent="0.25">
      <c r="H236">
        <f t="shared" si="6"/>
        <v>20</v>
      </c>
      <c r="I236">
        <f t="shared" si="7"/>
        <v>1</v>
      </c>
    </row>
    <row r="237" spans="8:9" x14ac:dyDescent="0.25">
      <c r="H237">
        <f t="shared" si="6"/>
        <v>20</v>
      </c>
      <c r="I237">
        <f t="shared" si="7"/>
        <v>1</v>
      </c>
    </row>
    <row r="238" spans="8:9" x14ac:dyDescent="0.25">
      <c r="H238">
        <f t="shared" si="6"/>
        <v>20</v>
      </c>
      <c r="I238">
        <f t="shared" si="7"/>
        <v>1</v>
      </c>
    </row>
    <row r="239" spans="8:9" x14ac:dyDescent="0.25">
      <c r="H239">
        <f t="shared" si="6"/>
        <v>20</v>
      </c>
      <c r="I239">
        <f t="shared" si="7"/>
        <v>1</v>
      </c>
    </row>
    <row r="240" spans="8:9" x14ac:dyDescent="0.25">
      <c r="H240">
        <f t="shared" si="6"/>
        <v>20</v>
      </c>
      <c r="I240">
        <f t="shared" si="7"/>
        <v>1</v>
      </c>
    </row>
    <row r="241" spans="8:9" x14ac:dyDescent="0.25">
      <c r="H241">
        <f t="shared" si="6"/>
        <v>20</v>
      </c>
      <c r="I241">
        <f t="shared" si="7"/>
        <v>1</v>
      </c>
    </row>
    <row r="242" spans="8:9" x14ac:dyDescent="0.25">
      <c r="H242">
        <f t="shared" si="6"/>
        <v>20</v>
      </c>
      <c r="I242">
        <f t="shared" si="7"/>
        <v>1</v>
      </c>
    </row>
    <row r="243" spans="8:9" x14ac:dyDescent="0.25">
      <c r="H243">
        <f t="shared" si="6"/>
        <v>20</v>
      </c>
      <c r="I243">
        <f t="shared" si="7"/>
        <v>1</v>
      </c>
    </row>
    <row r="244" spans="8:9" x14ac:dyDescent="0.25">
      <c r="H244">
        <f t="shared" si="6"/>
        <v>20</v>
      </c>
      <c r="I244">
        <f t="shared" si="7"/>
        <v>1</v>
      </c>
    </row>
    <row r="245" spans="8:9" x14ac:dyDescent="0.25">
      <c r="H245">
        <f t="shared" si="6"/>
        <v>20</v>
      </c>
      <c r="I245">
        <f t="shared" si="7"/>
        <v>1</v>
      </c>
    </row>
    <row r="246" spans="8:9" x14ac:dyDescent="0.25">
      <c r="H246">
        <f t="shared" si="6"/>
        <v>20</v>
      </c>
      <c r="I246">
        <f t="shared" si="7"/>
        <v>1</v>
      </c>
    </row>
    <row r="247" spans="8:9" x14ac:dyDescent="0.25">
      <c r="H247">
        <f t="shared" si="6"/>
        <v>20</v>
      </c>
      <c r="I247">
        <f t="shared" si="7"/>
        <v>1</v>
      </c>
    </row>
    <row r="248" spans="8:9" x14ac:dyDescent="0.25">
      <c r="H248">
        <f t="shared" si="6"/>
        <v>20</v>
      </c>
      <c r="I248">
        <f t="shared" si="7"/>
        <v>1</v>
      </c>
    </row>
    <row r="249" spans="8:9" x14ac:dyDescent="0.25">
      <c r="H249">
        <f t="shared" si="6"/>
        <v>20</v>
      </c>
      <c r="I249">
        <f t="shared" si="7"/>
        <v>1</v>
      </c>
    </row>
    <row r="250" spans="8:9" x14ac:dyDescent="0.25">
      <c r="H250">
        <f t="shared" si="6"/>
        <v>20</v>
      </c>
      <c r="I250">
        <f t="shared" si="7"/>
        <v>1</v>
      </c>
    </row>
    <row r="251" spans="8:9" x14ac:dyDescent="0.25">
      <c r="H251">
        <f t="shared" si="6"/>
        <v>20</v>
      </c>
      <c r="I251">
        <f t="shared" si="7"/>
        <v>1</v>
      </c>
    </row>
    <row r="252" spans="8:9" x14ac:dyDescent="0.25">
      <c r="H252">
        <f t="shared" si="6"/>
        <v>20</v>
      </c>
      <c r="I252">
        <f t="shared" si="7"/>
        <v>1</v>
      </c>
    </row>
    <row r="253" spans="8:9" x14ac:dyDescent="0.25">
      <c r="H253">
        <f t="shared" si="6"/>
        <v>20</v>
      </c>
      <c r="I253">
        <f t="shared" si="7"/>
        <v>1</v>
      </c>
    </row>
    <row r="254" spans="8:9" x14ac:dyDescent="0.25">
      <c r="H254">
        <f t="shared" si="6"/>
        <v>20</v>
      </c>
      <c r="I254">
        <f t="shared" si="7"/>
        <v>1</v>
      </c>
    </row>
    <row r="255" spans="8:9" x14ac:dyDescent="0.25">
      <c r="H255">
        <f t="shared" si="6"/>
        <v>20</v>
      </c>
      <c r="I255">
        <f t="shared" si="7"/>
        <v>1</v>
      </c>
    </row>
    <row r="256" spans="8:9" x14ac:dyDescent="0.25">
      <c r="H256">
        <f t="shared" si="6"/>
        <v>20</v>
      </c>
      <c r="I256">
        <f t="shared" si="7"/>
        <v>1</v>
      </c>
    </row>
    <row r="257" spans="8:9" x14ac:dyDescent="0.25">
      <c r="H257">
        <f t="shared" si="6"/>
        <v>20</v>
      </c>
      <c r="I257">
        <f t="shared" si="7"/>
        <v>1</v>
      </c>
    </row>
    <row r="258" spans="8:9" x14ac:dyDescent="0.25">
      <c r="H258">
        <f t="shared" si="6"/>
        <v>20</v>
      </c>
      <c r="I258">
        <f t="shared" si="7"/>
        <v>1</v>
      </c>
    </row>
    <row r="259" spans="8:9" x14ac:dyDescent="0.25">
      <c r="H259">
        <f t="shared" ref="H259:H322" si="8">C259+20</f>
        <v>20</v>
      </c>
      <c r="I259">
        <f t="shared" ref="I259:I322" si="9">INT(H259/100)+1</f>
        <v>1</v>
      </c>
    </row>
    <row r="260" spans="8:9" x14ac:dyDescent="0.25">
      <c r="H260">
        <f t="shared" si="8"/>
        <v>20</v>
      </c>
      <c r="I260">
        <f t="shared" si="9"/>
        <v>1</v>
      </c>
    </row>
    <row r="261" spans="8:9" x14ac:dyDescent="0.25">
      <c r="H261">
        <f t="shared" si="8"/>
        <v>20</v>
      </c>
      <c r="I261">
        <f t="shared" si="9"/>
        <v>1</v>
      </c>
    </row>
    <row r="262" spans="8:9" x14ac:dyDescent="0.25">
      <c r="H262">
        <f t="shared" si="8"/>
        <v>20</v>
      </c>
      <c r="I262">
        <f t="shared" si="9"/>
        <v>1</v>
      </c>
    </row>
    <row r="263" spans="8:9" x14ac:dyDescent="0.25">
      <c r="H263">
        <f t="shared" si="8"/>
        <v>20</v>
      </c>
      <c r="I263">
        <f t="shared" si="9"/>
        <v>1</v>
      </c>
    </row>
    <row r="264" spans="8:9" x14ac:dyDescent="0.25">
      <c r="H264">
        <f t="shared" si="8"/>
        <v>20</v>
      </c>
      <c r="I264">
        <f t="shared" si="9"/>
        <v>1</v>
      </c>
    </row>
    <row r="265" spans="8:9" x14ac:dyDescent="0.25">
      <c r="H265">
        <f t="shared" si="8"/>
        <v>20</v>
      </c>
      <c r="I265">
        <f t="shared" si="9"/>
        <v>1</v>
      </c>
    </row>
    <row r="266" spans="8:9" x14ac:dyDescent="0.25">
      <c r="H266">
        <f t="shared" si="8"/>
        <v>20</v>
      </c>
      <c r="I266">
        <f t="shared" si="9"/>
        <v>1</v>
      </c>
    </row>
    <row r="267" spans="8:9" x14ac:dyDescent="0.25">
      <c r="H267">
        <f t="shared" si="8"/>
        <v>20</v>
      </c>
      <c r="I267">
        <f t="shared" si="9"/>
        <v>1</v>
      </c>
    </row>
    <row r="268" spans="8:9" x14ac:dyDescent="0.25">
      <c r="H268">
        <f t="shared" si="8"/>
        <v>20</v>
      </c>
      <c r="I268">
        <f t="shared" si="9"/>
        <v>1</v>
      </c>
    </row>
    <row r="269" spans="8:9" x14ac:dyDescent="0.25">
      <c r="H269">
        <f t="shared" si="8"/>
        <v>20</v>
      </c>
      <c r="I269">
        <f t="shared" si="9"/>
        <v>1</v>
      </c>
    </row>
    <row r="270" spans="8:9" x14ac:dyDescent="0.25">
      <c r="H270">
        <f t="shared" si="8"/>
        <v>20</v>
      </c>
      <c r="I270">
        <f t="shared" si="9"/>
        <v>1</v>
      </c>
    </row>
    <row r="271" spans="8:9" x14ac:dyDescent="0.25">
      <c r="H271">
        <f t="shared" si="8"/>
        <v>20</v>
      </c>
      <c r="I271">
        <f t="shared" si="9"/>
        <v>1</v>
      </c>
    </row>
    <row r="272" spans="8:9" x14ac:dyDescent="0.25">
      <c r="H272">
        <f t="shared" si="8"/>
        <v>20</v>
      </c>
      <c r="I272">
        <f t="shared" si="9"/>
        <v>1</v>
      </c>
    </row>
    <row r="273" spans="8:9" x14ac:dyDescent="0.25">
      <c r="H273">
        <f t="shared" si="8"/>
        <v>20</v>
      </c>
      <c r="I273">
        <f t="shared" si="9"/>
        <v>1</v>
      </c>
    </row>
    <row r="274" spans="8:9" x14ac:dyDescent="0.25">
      <c r="H274">
        <f t="shared" si="8"/>
        <v>20</v>
      </c>
      <c r="I274">
        <f t="shared" si="9"/>
        <v>1</v>
      </c>
    </row>
    <row r="275" spans="8:9" x14ac:dyDescent="0.25">
      <c r="H275">
        <f t="shared" si="8"/>
        <v>20</v>
      </c>
      <c r="I275">
        <f t="shared" si="9"/>
        <v>1</v>
      </c>
    </row>
    <row r="276" spans="8:9" x14ac:dyDescent="0.25">
      <c r="H276">
        <f t="shared" si="8"/>
        <v>20</v>
      </c>
      <c r="I276">
        <f t="shared" si="9"/>
        <v>1</v>
      </c>
    </row>
    <row r="277" spans="8:9" x14ac:dyDescent="0.25">
      <c r="H277">
        <f t="shared" si="8"/>
        <v>20</v>
      </c>
      <c r="I277">
        <f t="shared" si="9"/>
        <v>1</v>
      </c>
    </row>
    <row r="278" spans="8:9" x14ac:dyDescent="0.25">
      <c r="H278">
        <f t="shared" si="8"/>
        <v>20</v>
      </c>
      <c r="I278">
        <f t="shared" si="9"/>
        <v>1</v>
      </c>
    </row>
    <row r="279" spans="8:9" x14ac:dyDescent="0.25">
      <c r="H279">
        <f t="shared" si="8"/>
        <v>20</v>
      </c>
      <c r="I279">
        <f t="shared" si="9"/>
        <v>1</v>
      </c>
    </row>
    <row r="280" spans="8:9" x14ac:dyDescent="0.25">
      <c r="H280">
        <f t="shared" si="8"/>
        <v>20</v>
      </c>
      <c r="I280">
        <f t="shared" si="9"/>
        <v>1</v>
      </c>
    </row>
    <row r="281" spans="8:9" x14ac:dyDescent="0.25">
      <c r="H281">
        <f t="shared" si="8"/>
        <v>20</v>
      </c>
      <c r="I281">
        <f t="shared" si="9"/>
        <v>1</v>
      </c>
    </row>
    <row r="282" spans="8:9" x14ac:dyDescent="0.25">
      <c r="H282">
        <f t="shared" si="8"/>
        <v>20</v>
      </c>
      <c r="I282">
        <f t="shared" si="9"/>
        <v>1</v>
      </c>
    </row>
    <row r="283" spans="8:9" x14ac:dyDescent="0.25">
      <c r="H283">
        <f t="shared" si="8"/>
        <v>20</v>
      </c>
      <c r="I283">
        <f t="shared" si="9"/>
        <v>1</v>
      </c>
    </row>
    <row r="284" spans="8:9" x14ac:dyDescent="0.25">
      <c r="H284">
        <f t="shared" si="8"/>
        <v>20</v>
      </c>
      <c r="I284">
        <f t="shared" si="9"/>
        <v>1</v>
      </c>
    </row>
    <row r="285" spans="8:9" x14ac:dyDescent="0.25">
      <c r="H285">
        <f t="shared" si="8"/>
        <v>20</v>
      </c>
      <c r="I285">
        <f t="shared" si="9"/>
        <v>1</v>
      </c>
    </row>
    <row r="286" spans="8:9" x14ac:dyDescent="0.25">
      <c r="H286">
        <f t="shared" si="8"/>
        <v>20</v>
      </c>
      <c r="I286">
        <f t="shared" si="9"/>
        <v>1</v>
      </c>
    </row>
    <row r="287" spans="8:9" x14ac:dyDescent="0.25">
      <c r="H287">
        <f t="shared" si="8"/>
        <v>20</v>
      </c>
      <c r="I287">
        <f t="shared" si="9"/>
        <v>1</v>
      </c>
    </row>
    <row r="288" spans="8:9" x14ac:dyDescent="0.25">
      <c r="H288">
        <f t="shared" si="8"/>
        <v>20</v>
      </c>
      <c r="I288">
        <f t="shared" si="9"/>
        <v>1</v>
      </c>
    </row>
    <row r="289" spans="8:9" x14ac:dyDescent="0.25">
      <c r="H289">
        <f t="shared" si="8"/>
        <v>20</v>
      </c>
      <c r="I289">
        <f t="shared" si="9"/>
        <v>1</v>
      </c>
    </row>
    <row r="290" spans="8:9" x14ac:dyDescent="0.25">
      <c r="H290">
        <f t="shared" si="8"/>
        <v>20</v>
      </c>
      <c r="I290">
        <f t="shared" si="9"/>
        <v>1</v>
      </c>
    </row>
    <row r="291" spans="8:9" x14ac:dyDescent="0.25">
      <c r="H291">
        <f t="shared" si="8"/>
        <v>20</v>
      </c>
      <c r="I291">
        <f t="shared" si="9"/>
        <v>1</v>
      </c>
    </row>
    <row r="292" spans="8:9" x14ac:dyDescent="0.25">
      <c r="H292">
        <f t="shared" si="8"/>
        <v>20</v>
      </c>
      <c r="I292">
        <f t="shared" si="9"/>
        <v>1</v>
      </c>
    </row>
    <row r="293" spans="8:9" x14ac:dyDescent="0.25">
      <c r="H293">
        <f t="shared" si="8"/>
        <v>20</v>
      </c>
      <c r="I293">
        <f t="shared" si="9"/>
        <v>1</v>
      </c>
    </row>
    <row r="294" spans="8:9" x14ac:dyDescent="0.25">
      <c r="H294">
        <f t="shared" si="8"/>
        <v>20</v>
      </c>
      <c r="I294">
        <f t="shared" si="9"/>
        <v>1</v>
      </c>
    </row>
    <row r="295" spans="8:9" x14ac:dyDescent="0.25">
      <c r="H295">
        <f t="shared" si="8"/>
        <v>20</v>
      </c>
      <c r="I295">
        <f t="shared" si="9"/>
        <v>1</v>
      </c>
    </row>
    <row r="296" spans="8:9" x14ac:dyDescent="0.25">
      <c r="H296">
        <f t="shared" si="8"/>
        <v>20</v>
      </c>
      <c r="I296">
        <f t="shared" si="9"/>
        <v>1</v>
      </c>
    </row>
    <row r="297" spans="8:9" x14ac:dyDescent="0.25">
      <c r="H297">
        <f t="shared" si="8"/>
        <v>20</v>
      </c>
      <c r="I297">
        <f t="shared" si="9"/>
        <v>1</v>
      </c>
    </row>
    <row r="298" spans="8:9" x14ac:dyDescent="0.25">
      <c r="H298">
        <f t="shared" si="8"/>
        <v>20</v>
      </c>
      <c r="I298">
        <f t="shared" si="9"/>
        <v>1</v>
      </c>
    </row>
    <row r="299" spans="8:9" x14ac:dyDescent="0.25">
      <c r="H299">
        <f t="shared" si="8"/>
        <v>20</v>
      </c>
      <c r="I299">
        <f t="shared" si="9"/>
        <v>1</v>
      </c>
    </row>
    <row r="300" spans="8:9" x14ac:dyDescent="0.25">
      <c r="H300">
        <f t="shared" si="8"/>
        <v>20</v>
      </c>
      <c r="I300">
        <f t="shared" si="9"/>
        <v>1</v>
      </c>
    </row>
    <row r="301" spans="8:9" x14ac:dyDescent="0.25">
      <c r="H301">
        <f t="shared" si="8"/>
        <v>20</v>
      </c>
      <c r="I301">
        <f t="shared" si="9"/>
        <v>1</v>
      </c>
    </row>
    <row r="302" spans="8:9" x14ac:dyDescent="0.25">
      <c r="H302">
        <f t="shared" si="8"/>
        <v>20</v>
      </c>
      <c r="I302">
        <f t="shared" si="9"/>
        <v>1</v>
      </c>
    </row>
    <row r="303" spans="8:9" x14ac:dyDescent="0.25">
      <c r="H303">
        <f t="shared" si="8"/>
        <v>20</v>
      </c>
      <c r="I303">
        <f t="shared" si="9"/>
        <v>1</v>
      </c>
    </row>
    <row r="304" spans="8:9" x14ac:dyDescent="0.25">
      <c r="H304">
        <f t="shared" si="8"/>
        <v>20</v>
      </c>
      <c r="I304">
        <f t="shared" si="9"/>
        <v>1</v>
      </c>
    </row>
    <row r="305" spans="8:9" x14ac:dyDescent="0.25">
      <c r="H305">
        <f t="shared" si="8"/>
        <v>20</v>
      </c>
      <c r="I305">
        <f t="shared" si="9"/>
        <v>1</v>
      </c>
    </row>
    <row r="306" spans="8:9" x14ac:dyDescent="0.25">
      <c r="H306">
        <f t="shared" si="8"/>
        <v>20</v>
      </c>
      <c r="I306">
        <f t="shared" si="9"/>
        <v>1</v>
      </c>
    </row>
    <row r="307" spans="8:9" x14ac:dyDescent="0.25">
      <c r="H307">
        <f t="shared" si="8"/>
        <v>20</v>
      </c>
      <c r="I307">
        <f t="shared" si="9"/>
        <v>1</v>
      </c>
    </row>
    <row r="308" spans="8:9" x14ac:dyDescent="0.25">
      <c r="H308">
        <f t="shared" si="8"/>
        <v>20</v>
      </c>
      <c r="I308">
        <f t="shared" si="9"/>
        <v>1</v>
      </c>
    </row>
    <row r="309" spans="8:9" x14ac:dyDescent="0.25">
      <c r="H309">
        <f t="shared" si="8"/>
        <v>20</v>
      </c>
      <c r="I309">
        <f t="shared" si="9"/>
        <v>1</v>
      </c>
    </row>
    <row r="310" spans="8:9" x14ac:dyDescent="0.25">
      <c r="H310">
        <f t="shared" si="8"/>
        <v>20</v>
      </c>
      <c r="I310">
        <f t="shared" si="9"/>
        <v>1</v>
      </c>
    </row>
    <row r="311" spans="8:9" x14ac:dyDescent="0.25">
      <c r="H311">
        <f t="shared" si="8"/>
        <v>20</v>
      </c>
      <c r="I311">
        <f t="shared" si="9"/>
        <v>1</v>
      </c>
    </row>
    <row r="312" spans="8:9" x14ac:dyDescent="0.25">
      <c r="H312">
        <f t="shared" si="8"/>
        <v>20</v>
      </c>
      <c r="I312">
        <f t="shared" si="9"/>
        <v>1</v>
      </c>
    </row>
    <row r="313" spans="8:9" x14ac:dyDescent="0.25">
      <c r="H313">
        <f t="shared" si="8"/>
        <v>20</v>
      </c>
      <c r="I313">
        <f t="shared" si="9"/>
        <v>1</v>
      </c>
    </row>
    <row r="314" spans="8:9" x14ac:dyDescent="0.25">
      <c r="H314">
        <f t="shared" si="8"/>
        <v>20</v>
      </c>
      <c r="I314">
        <f t="shared" si="9"/>
        <v>1</v>
      </c>
    </row>
    <row r="315" spans="8:9" x14ac:dyDescent="0.25">
      <c r="H315">
        <f t="shared" si="8"/>
        <v>20</v>
      </c>
      <c r="I315">
        <f t="shared" si="9"/>
        <v>1</v>
      </c>
    </row>
    <row r="316" spans="8:9" x14ac:dyDescent="0.25">
      <c r="H316">
        <f t="shared" si="8"/>
        <v>20</v>
      </c>
      <c r="I316">
        <f t="shared" si="9"/>
        <v>1</v>
      </c>
    </row>
    <row r="317" spans="8:9" x14ac:dyDescent="0.25">
      <c r="H317">
        <f t="shared" si="8"/>
        <v>20</v>
      </c>
      <c r="I317">
        <f t="shared" si="9"/>
        <v>1</v>
      </c>
    </row>
    <row r="318" spans="8:9" x14ac:dyDescent="0.25">
      <c r="H318">
        <f t="shared" si="8"/>
        <v>20</v>
      </c>
      <c r="I318">
        <f t="shared" si="9"/>
        <v>1</v>
      </c>
    </row>
    <row r="319" spans="8:9" x14ac:dyDescent="0.25">
      <c r="H319">
        <f t="shared" si="8"/>
        <v>20</v>
      </c>
      <c r="I319">
        <f t="shared" si="9"/>
        <v>1</v>
      </c>
    </row>
    <row r="320" spans="8:9" x14ac:dyDescent="0.25">
      <c r="H320">
        <f t="shared" si="8"/>
        <v>20</v>
      </c>
      <c r="I320">
        <f t="shared" si="9"/>
        <v>1</v>
      </c>
    </row>
    <row r="321" spans="8:9" x14ac:dyDescent="0.25">
      <c r="H321">
        <f t="shared" si="8"/>
        <v>20</v>
      </c>
      <c r="I321">
        <f t="shared" si="9"/>
        <v>1</v>
      </c>
    </row>
    <row r="322" spans="8:9" x14ac:dyDescent="0.25">
      <c r="H322">
        <f t="shared" si="8"/>
        <v>20</v>
      </c>
      <c r="I322">
        <f t="shared" si="9"/>
        <v>1</v>
      </c>
    </row>
    <row r="323" spans="8:9" x14ac:dyDescent="0.25">
      <c r="H323">
        <f t="shared" ref="H323:H386" si="10">C323+20</f>
        <v>20</v>
      </c>
      <c r="I323">
        <f t="shared" ref="I323:I386" si="11">INT(H323/100)+1</f>
        <v>1</v>
      </c>
    </row>
    <row r="324" spans="8:9" x14ac:dyDescent="0.25">
      <c r="H324">
        <f t="shared" si="10"/>
        <v>20</v>
      </c>
      <c r="I324">
        <f t="shared" si="11"/>
        <v>1</v>
      </c>
    </row>
    <row r="325" spans="8:9" x14ac:dyDescent="0.25">
      <c r="H325">
        <f t="shared" si="10"/>
        <v>20</v>
      </c>
      <c r="I325">
        <f t="shared" si="11"/>
        <v>1</v>
      </c>
    </row>
    <row r="326" spans="8:9" x14ac:dyDescent="0.25">
      <c r="H326">
        <f t="shared" si="10"/>
        <v>20</v>
      </c>
      <c r="I326">
        <f t="shared" si="11"/>
        <v>1</v>
      </c>
    </row>
    <row r="327" spans="8:9" x14ac:dyDescent="0.25">
      <c r="H327">
        <f t="shared" si="10"/>
        <v>20</v>
      </c>
      <c r="I327">
        <f t="shared" si="11"/>
        <v>1</v>
      </c>
    </row>
    <row r="328" spans="8:9" x14ac:dyDescent="0.25">
      <c r="H328">
        <f t="shared" si="10"/>
        <v>20</v>
      </c>
      <c r="I328">
        <f t="shared" si="11"/>
        <v>1</v>
      </c>
    </row>
    <row r="329" spans="8:9" x14ac:dyDescent="0.25">
      <c r="H329">
        <f t="shared" si="10"/>
        <v>20</v>
      </c>
      <c r="I329">
        <f t="shared" si="11"/>
        <v>1</v>
      </c>
    </row>
    <row r="330" spans="8:9" x14ac:dyDescent="0.25">
      <c r="H330">
        <f t="shared" si="10"/>
        <v>20</v>
      </c>
      <c r="I330">
        <f t="shared" si="11"/>
        <v>1</v>
      </c>
    </row>
    <row r="331" spans="8:9" x14ac:dyDescent="0.25">
      <c r="H331">
        <f t="shared" si="10"/>
        <v>20</v>
      </c>
      <c r="I331">
        <f t="shared" si="11"/>
        <v>1</v>
      </c>
    </row>
    <row r="332" spans="8:9" x14ac:dyDescent="0.25">
      <c r="H332">
        <f t="shared" si="10"/>
        <v>20</v>
      </c>
      <c r="I332">
        <f t="shared" si="11"/>
        <v>1</v>
      </c>
    </row>
    <row r="333" spans="8:9" x14ac:dyDescent="0.25">
      <c r="H333">
        <f t="shared" si="10"/>
        <v>20</v>
      </c>
      <c r="I333">
        <f t="shared" si="11"/>
        <v>1</v>
      </c>
    </row>
    <row r="334" spans="8:9" x14ac:dyDescent="0.25">
      <c r="H334">
        <f t="shared" si="10"/>
        <v>20</v>
      </c>
      <c r="I334">
        <f t="shared" si="11"/>
        <v>1</v>
      </c>
    </row>
    <row r="335" spans="8:9" x14ac:dyDescent="0.25">
      <c r="H335">
        <f t="shared" si="10"/>
        <v>20</v>
      </c>
      <c r="I335">
        <f t="shared" si="11"/>
        <v>1</v>
      </c>
    </row>
    <row r="336" spans="8:9" x14ac:dyDescent="0.25">
      <c r="H336">
        <f t="shared" si="10"/>
        <v>20</v>
      </c>
      <c r="I336">
        <f t="shared" si="11"/>
        <v>1</v>
      </c>
    </row>
    <row r="337" spans="8:9" x14ac:dyDescent="0.25">
      <c r="H337">
        <f t="shared" si="10"/>
        <v>20</v>
      </c>
      <c r="I337">
        <f t="shared" si="11"/>
        <v>1</v>
      </c>
    </row>
    <row r="338" spans="8:9" x14ac:dyDescent="0.25">
      <c r="H338">
        <f t="shared" si="10"/>
        <v>20</v>
      </c>
      <c r="I338">
        <f t="shared" si="11"/>
        <v>1</v>
      </c>
    </row>
    <row r="339" spans="8:9" x14ac:dyDescent="0.25">
      <c r="H339">
        <f t="shared" si="10"/>
        <v>20</v>
      </c>
      <c r="I339">
        <f t="shared" si="11"/>
        <v>1</v>
      </c>
    </row>
    <row r="340" spans="8:9" x14ac:dyDescent="0.25">
      <c r="H340">
        <f t="shared" si="10"/>
        <v>20</v>
      </c>
      <c r="I340">
        <f t="shared" si="11"/>
        <v>1</v>
      </c>
    </row>
    <row r="341" spans="8:9" x14ac:dyDescent="0.25">
      <c r="H341">
        <f t="shared" si="10"/>
        <v>20</v>
      </c>
      <c r="I341">
        <f t="shared" si="11"/>
        <v>1</v>
      </c>
    </row>
    <row r="342" spans="8:9" x14ac:dyDescent="0.25">
      <c r="H342">
        <f t="shared" si="10"/>
        <v>20</v>
      </c>
      <c r="I342">
        <f t="shared" si="11"/>
        <v>1</v>
      </c>
    </row>
    <row r="343" spans="8:9" x14ac:dyDescent="0.25">
      <c r="H343">
        <f t="shared" si="10"/>
        <v>20</v>
      </c>
      <c r="I343">
        <f t="shared" si="11"/>
        <v>1</v>
      </c>
    </row>
    <row r="344" spans="8:9" x14ac:dyDescent="0.25">
      <c r="H344">
        <f t="shared" si="10"/>
        <v>20</v>
      </c>
      <c r="I344">
        <f t="shared" si="11"/>
        <v>1</v>
      </c>
    </row>
    <row r="345" spans="8:9" x14ac:dyDescent="0.25">
      <c r="H345">
        <f t="shared" si="10"/>
        <v>20</v>
      </c>
      <c r="I345">
        <f t="shared" si="11"/>
        <v>1</v>
      </c>
    </row>
    <row r="346" spans="8:9" x14ac:dyDescent="0.25">
      <c r="H346">
        <f t="shared" si="10"/>
        <v>20</v>
      </c>
      <c r="I346">
        <f t="shared" si="11"/>
        <v>1</v>
      </c>
    </row>
    <row r="347" spans="8:9" x14ac:dyDescent="0.25">
      <c r="H347">
        <f t="shared" si="10"/>
        <v>20</v>
      </c>
      <c r="I347">
        <f t="shared" si="11"/>
        <v>1</v>
      </c>
    </row>
    <row r="348" spans="8:9" x14ac:dyDescent="0.25">
      <c r="H348">
        <f t="shared" si="10"/>
        <v>20</v>
      </c>
      <c r="I348">
        <f t="shared" si="11"/>
        <v>1</v>
      </c>
    </row>
    <row r="349" spans="8:9" x14ac:dyDescent="0.25">
      <c r="H349">
        <f t="shared" si="10"/>
        <v>20</v>
      </c>
      <c r="I349">
        <f t="shared" si="11"/>
        <v>1</v>
      </c>
    </row>
    <row r="350" spans="8:9" x14ac:dyDescent="0.25">
      <c r="H350">
        <f t="shared" si="10"/>
        <v>20</v>
      </c>
      <c r="I350">
        <f t="shared" si="11"/>
        <v>1</v>
      </c>
    </row>
    <row r="351" spans="8:9" x14ac:dyDescent="0.25">
      <c r="H351">
        <f t="shared" si="10"/>
        <v>20</v>
      </c>
      <c r="I351">
        <f t="shared" si="11"/>
        <v>1</v>
      </c>
    </row>
    <row r="352" spans="8:9" x14ac:dyDescent="0.25">
      <c r="H352">
        <f t="shared" si="10"/>
        <v>20</v>
      </c>
      <c r="I352">
        <f t="shared" si="11"/>
        <v>1</v>
      </c>
    </row>
    <row r="353" spans="8:9" x14ac:dyDescent="0.25">
      <c r="H353">
        <f t="shared" si="10"/>
        <v>20</v>
      </c>
      <c r="I353">
        <f t="shared" si="11"/>
        <v>1</v>
      </c>
    </row>
    <row r="354" spans="8:9" x14ac:dyDescent="0.25">
      <c r="H354">
        <f t="shared" si="10"/>
        <v>20</v>
      </c>
      <c r="I354">
        <f t="shared" si="11"/>
        <v>1</v>
      </c>
    </row>
    <row r="355" spans="8:9" x14ac:dyDescent="0.25">
      <c r="H355">
        <f t="shared" si="10"/>
        <v>20</v>
      </c>
      <c r="I355">
        <f t="shared" si="11"/>
        <v>1</v>
      </c>
    </row>
    <row r="356" spans="8:9" x14ac:dyDescent="0.25">
      <c r="H356">
        <f t="shared" si="10"/>
        <v>20</v>
      </c>
      <c r="I356">
        <f t="shared" si="11"/>
        <v>1</v>
      </c>
    </row>
    <row r="357" spans="8:9" x14ac:dyDescent="0.25">
      <c r="H357">
        <f t="shared" si="10"/>
        <v>20</v>
      </c>
      <c r="I357">
        <f t="shared" si="11"/>
        <v>1</v>
      </c>
    </row>
    <row r="358" spans="8:9" x14ac:dyDescent="0.25">
      <c r="H358">
        <f t="shared" si="10"/>
        <v>20</v>
      </c>
      <c r="I358">
        <f t="shared" si="11"/>
        <v>1</v>
      </c>
    </row>
    <row r="359" spans="8:9" x14ac:dyDescent="0.25">
      <c r="H359">
        <f t="shared" si="10"/>
        <v>20</v>
      </c>
      <c r="I359">
        <f t="shared" si="11"/>
        <v>1</v>
      </c>
    </row>
    <row r="360" spans="8:9" x14ac:dyDescent="0.25">
      <c r="H360">
        <f t="shared" si="10"/>
        <v>20</v>
      </c>
      <c r="I360">
        <f t="shared" si="11"/>
        <v>1</v>
      </c>
    </row>
    <row r="361" spans="8:9" x14ac:dyDescent="0.25">
      <c r="H361">
        <f t="shared" si="10"/>
        <v>20</v>
      </c>
      <c r="I361">
        <f t="shared" si="11"/>
        <v>1</v>
      </c>
    </row>
    <row r="362" spans="8:9" x14ac:dyDescent="0.25">
      <c r="H362">
        <f t="shared" si="10"/>
        <v>20</v>
      </c>
      <c r="I362">
        <f t="shared" si="11"/>
        <v>1</v>
      </c>
    </row>
    <row r="363" spans="8:9" x14ac:dyDescent="0.25">
      <c r="H363">
        <f t="shared" si="10"/>
        <v>20</v>
      </c>
      <c r="I363">
        <f t="shared" si="11"/>
        <v>1</v>
      </c>
    </row>
    <row r="364" spans="8:9" x14ac:dyDescent="0.25">
      <c r="H364">
        <f t="shared" si="10"/>
        <v>20</v>
      </c>
      <c r="I364">
        <f t="shared" si="11"/>
        <v>1</v>
      </c>
    </row>
    <row r="365" spans="8:9" x14ac:dyDescent="0.25">
      <c r="H365">
        <f t="shared" si="10"/>
        <v>20</v>
      </c>
      <c r="I365">
        <f t="shared" si="11"/>
        <v>1</v>
      </c>
    </row>
    <row r="366" spans="8:9" x14ac:dyDescent="0.25">
      <c r="H366">
        <f t="shared" si="10"/>
        <v>20</v>
      </c>
      <c r="I366">
        <f t="shared" si="11"/>
        <v>1</v>
      </c>
    </row>
    <row r="367" spans="8:9" x14ac:dyDescent="0.25">
      <c r="H367">
        <f t="shared" si="10"/>
        <v>20</v>
      </c>
      <c r="I367">
        <f t="shared" si="11"/>
        <v>1</v>
      </c>
    </row>
    <row r="368" spans="8:9" x14ac:dyDescent="0.25">
      <c r="H368">
        <f t="shared" si="10"/>
        <v>20</v>
      </c>
      <c r="I368">
        <f t="shared" si="11"/>
        <v>1</v>
      </c>
    </row>
    <row r="369" spans="8:9" x14ac:dyDescent="0.25">
      <c r="H369">
        <f t="shared" si="10"/>
        <v>20</v>
      </c>
      <c r="I369">
        <f t="shared" si="11"/>
        <v>1</v>
      </c>
    </row>
    <row r="370" spans="8:9" x14ac:dyDescent="0.25">
      <c r="H370">
        <f t="shared" si="10"/>
        <v>20</v>
      </c>
      <c r="I370">
        <f t="shared" si="11"/>
        <v>1</v>
      </c>
    </row>
    <row r="371" spans="8:9" x14ac:dyDescent="0.25">
      <c r="H371">
        <f t="shared" si="10"/>
        <v>20</v>
      </c>
      <c r="I371">
        <f t="shared" si="11"/>
        <v>1</v>
      </c>
    </row>
    <row r="372" spans="8:9" x14ac:dyDescent="0.25">
      <c r="H372">
        <f t="shared" si="10"/>
        <v>20</v>
      </c>
      <c r="I372">
        <f t="shared" si="11"/>
        <v>1</v>
      </c>
    </row>
    <row r="373" spans="8:9" x14ac:dyDescent="0.25">
      <c r="H373">
        <f t="shared" si="10"/>
        <v>20</v>
      </c>
      <c r="I373">
        <f t="shared" si="11"/>
        <v>1</v>
      </c>
    </row>
    <row r="374" spans="8:9" x14ac:dyDescent="0.25">
      <c r="H374">
        <f t="shared" si="10"/>
        <v>20</v>
      </c>
      <c r="I374">
        <f t="shared" si="11"/>
        <v>1</v>
      </c>
    </row>
    <row r="375" spans="8:9" x14ac:dyDescent="0.25">
      <c r="H375">
        <f t="shared" si="10"/>
        <v>20</v>
      </c>
      <c r="I375">
        <f t="shared" si="11"/>
        <v>1</v>
      </c>
    </row>
    <row r="376" spans="8:9" x14ac:dyDescent="0.25">
      <c r="H376">
        <f t="shared" si="10"/>
        <v>20</v>
      </c>
      <c r="I376">
        <f t="shared" si="11"/>
        <v>1</v>
      </c>
    </row>
    <row r="377" spans="8:9" x14ac:dyDescent="0.25">
      <c r="H377">
        <f t="shared" si="10"/>
        <v>20</v>
      </c>
      <c r="I377">
        <f t="shared" si="11"/>
        <v>1</v>
      </c>
    </row>
    <row r="378" spans="8:9" x14ac:dyDescent="0.25">
      <c r="H378">
        <f t="shared" si="10"/>
        <v>20</v>
      </c>
      <c r="I378">
        <f t="shared" si="11"/>
        <v>1</v>
      </c>
    </row>
    <row r="379" spans="8:9" x14ac:dyDescent="0.25">
      <c r="H379">
        <f t="shared" si="10"/>
        <v>20</v>
      </c>
      <c r="I379">
        <f t="shared" si="11"/>
        <v>1</v>
      </c>
    </row>
    <row r="380" spans="8:9" x14ac:dyDescent="0.25">
      <c r="H380">
        <f t="shared" si="10"/>
        <v>20</v>
      </c>
      <c r="I380">
        <f t="shared" si="11"/>
        <v>1</v>
      </c>
    </row>
    <row r="381" spans="8:9" x14ac:dyDescent="0.25">
      <c r="H381">
        <f t="shared" si="10"/>
        <v>20</v>
      </c>
      <c r="I381">
        <f t="shared" si="11"/>
        <v>1</v>
      </c>
    </row>
    <row r="382" spans="8:9" x14ac:dyDescent="0.25">
      <c r="H382">
        <f t="shared" si="10"/>
        <v>20</v>
      </c>
      <c r="I382">
        <f t="shared" si="11"/>
        <v>1</v>
      </c>
    </row>
    <row r="383" spans="8:9" x14ac:dyDescent="0.25">
      <c r="H383">
        <f t="shared" si="10"/>
        <v>20</v>
      </c>
      <c r="I383">
        <f t="shared" si="11"/>
        <v>1</v>
      </c>
    </row>
    <row r="384" spans="8:9" x14ac:dyDescent="0.25">
      <c r="H384">
        <f t="shared" si="10"/>
        <v>20</v>
      </c>
      <c r="I384">
        <f t="shared" si="11"/>
        <v>1</v>
      </c>
    </row>
    <row r="385" spans="8:9" x14ac:dyDescent="0.25">
      <c r="H385">
        <f t="shared" si="10"/>
        <v>20</v>
      </c>
      <c r="I385">
        <f t="shared" si="11"/>
        <v>1</v>
      </c>
    </row>
    <row r="386" spans="8:9" x14ac:dyDescent="0.25">
      <c r="H386">
        <f t="shared" si="10"/>
        <v>20</v>
      </c>
      <c r="I386">
        <f t="shared" si="11"/>
        <v>1</v>
      </c>
    </row>
    <row r="387" spans="8:9" x14ac:dyDescent="0.25">
      <c r="H387">
        <f t="shared" ref="H387:H400" si="12">C387+20</f>
        <v>20</v>
      </c>
      <c r="I387">
        <f t="shared" ref="I387:I400" si="13">INT(H387/100)+1</f>
        <v>1</v>
      </c>
    </row>
    <row r="388" spans="8:9" x14ac:dyDescent="0.25">
      <c r="H388">
        <f t="shared" si="12"/>
        <v>20</v>
      </c>
      <c r="I388">
        <f t="shared" si="13"/>
        <v>1</v>
      </c>
    </row>
    <row r="389" spans="8:9" x14ac:dyDescent="0.25">
      <c r="H389">
        <f t="shared" si="12"/>
        <v>20</v>
      </c>
      <c r="I389">
        <f t="shared" si="13"/>
        <v>1</v>
      </c>
    </row>
    <row r="390" spans="8:9" x14ac:dyDescent="0.25">
      <c r="H390">
        <f t="shared" si="12"/>
        <v>20</v>
      </c>
      <c r="I390">
        <f t="shared" si="13"/>
        <v>1</v>
      </c>
    </row>
    <row r="391" spans="8:9" x14ac:dyDescent="0.25">
      <c r="H391">
        <f t="shared" si="12"/>
        <v>20</v>
      </c>
      <c r="I391">
        <f t="shared" si="13"/>
        <v>1</v>
      </c>
    </row>
    <row r="392" spans="8:9" x14ac:dyDescent="0.25">
      <c r="H392">
        <f t="shared" si="12"/>
        <v>20</v>
      </c>
      <c r="I392">
        <f t="shared" si="13"/>
        <v>1</v>
      </c>
    </row>
    <row r="393" spans="8:9" x14ac:dyDescent="0.25">
      <c r="H393">
        <f t="shared" si="12"/>
        <v>20</v>
      </c>
      <c r="I393">
        <f t="shared" si="13"/>
        <v>1</v>
      </c>
    </row>
    <row r="394" spans="8:9" x14ac:dyDescent="0.25">
      <c r="H394">
        <f t="shared" si="12"/>
        <v>20</v>
      </c>
      <c r="I394">
        <f t="shared" si="13"/>
        <v>1</v>
      </c>
    </row>
    <row r="395" spans="8:9" x14ac:dyDescent="0.25">
      <c r="H395">
        <f t="shared" si="12"/>
        <v>20</v>
      </c>
      <c r="I395">
        <f t="shared" si="13"/>
        <v>1</v>
      </c>
    </row>
    <row r="396" spans="8:9" x14ac:dyDescent="0.25">
      <c r="H396">
        <f t="shared" si="12"/>
        <v>20</v>
      </c>
      <c r="I396">
        <f t="shared" si="13"/>
        <v>1</v>
      </c>
    </row>
    <row r="397" spans="8:9" x14ac:dyDescent="0.25">
      <c r="H397">
        <f t="shared" si="12"/>
        <v>20</v>
      </c>
      <c r="I397">
        <f t="shared" si="13"/>
        <v>1</v>
      </c>
    </row>
    <row r="398" spans="8:9" x14ac:dyDescent="0.25">
      <c r="H398">
        <f t="shared" si="12"/>
        <v>20</v>
      </c>
      <c r="I398">
        <f t="shared" si="13"/>
        <v>1</v>
      </c>
    </row>
    <row r="399" spans="8:9" x14ac:dyDescent="0.25">
      <c r="H399">
        <f t="shared" si="12"/>
        <v>20</v>
      </c>
      <c r="I399">
        <f t="shared" si="13"/>
        <v>1</v>
      </c>
    </row>
    <row r="400" spans="8:9" x14ac:dyDescent="0.25">
      <c r="H400">
        <f t="shared" si="12"/>
        <v>20</v>
      </c>
      <c r="I400">
        <f t="shared" si="13"/>
        <v>1</v>
      </c>
    </row>
  </sheetData>
  <conditionalFormatting sqref="A2:A201">
    <cfRule type="expression" dxfId="1" priority="2">
      <formula>AND(I2=19,F2="France")</formula>
    </cfRule>
  </conditionalFormatting>
  <conditionalFormatting sqref="B2:B201">
    <cfRule type="expression" dxfId="0" priority="1">
      <formula>E2-H2&gt;=50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kro1">
                <anchor moveWithCells="1" sizeWithCells="1">
                  <from>
                    <xdr:col>11</xdr:col>
                    <xdr:colOff>428625</xdr:colOff>
                    <xdr:row>1</xdr:row>
                    <xdr:rowOff>95250</xdr:rowOff>
                  </from>
                  <to>
                    <xdr:col>14</xdr:col>
                    <xdr:colOff>457200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5</vt:i4>
      </vt:variant>
    </vt:vector>
  </HeadingPairs>
  <TitlesOfParts>
    <vt:vector size="5" baseType="lpstr">
      <vt:lpstr>List4</vt:lpstr>
      <vt:lpstr>poets_dataset</vt:lpstr>
      <vt:lpstr>List2</vt:lpstr>
      <vt:lpstr>List3</vt:lpstr>
      <vt:lpstr>List1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Minasjan, Garegin</cp:lastModifiedBy>
  <dcterms:created xsi:type="dcterms:W3CDTF">2024-10-21T06:32:54Z</dcterms:created>
  <dcterms:modified xsi:type="dcterms:W3CDTF">2024-10-21T06:32:54Z</dcterms:modified>
</cp:coreProperties>
</file>